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efcc97769db40dd" /></Relationships>
</file>

<file path=xl/workbook.xml><?xml version="1.0" encoding="utf-8"?>
<x:workbook xmlns:x="http://schemas.openxmlformats.org/spreadsheetml/2006/main">
  <x:sheets>
    <x:sheet xmlns:r="http://schemas.openxmlformats.org/officeDocument/2006/relationships" name="0_Hướng dẫn" sheetId="1" r:id="R8713adacecce4774"/>
    <x:sheet xmlns:r="http://schemas.openxmlformats.org/officeDocument/2006/relationships" name="0_Tình huống" sheetId="2" r:id="R511f8f00527645a2"/>
    <x:sheet xmlns:r="http://schemas.openxmlformats.org/officeDocument/2006/relationships" name="Bài 1" sheetId="3" r:id="R442809d648664c1d"/>
    <x:sheet xmlns:r="http://schemas.openxmlformats.org/officeDocument/2006/relationships" name="Bài 2" sheetId="4" r:id="R9dc99f0f3c19446a"/>
    <x:sheet xmlns:r="http://schemas.openxmlformats.org/officeDocument/2006/relationships" name="Bài 3" sheetId="5" r:id="R5a83df0d99314db4"/>
    <x:sheet xmlns:r="http://schemas.openxmlformats.org/officeDocument/2006/relationships" name="Bài 4" sheetId="6" r:id="R4d43369e9d784b02"/>
    <x:sheet xmlns:r="http://schemas.openxmlformats.org/officeDocument/2006/relationships" name="Bài 5" sheetId="7" r:id="Rdfc81268869c4a9b"/>
    <x:sheet xmlns:r="http://schemas.openxmlformats.org/officeDocument/2006/relationships" name="Xưởng" sheetId="8" r:id="R57c0dc0769604b81"/>
    <x:sheet xmlns:r="http://schemas.openxmlformats.org/officeDocument/2006/relationships" name="Thang điểm" sheetId="9" r:id="Re3dc3f900c9f4a1c"/>
    <x:sheet xmlns:r="http://schemas.openxmlformats.org/officeDocument/2006/relationships" name="Tổng hợp" sheetId="10" r:id="Re29d6f560307467e"/>
    <x:sheet xmlns:r="http://schemas.openxmlformats.org/officeDocument/2006/relationships" name="_ds" sheetId="11" r:id="Ra5ff7f437f42498a"/>
  </x:sheets>
</x:workbook>
</file>

<file path=xl/sharedStrings.xml><?xml version="1.0" encoding="utf-8"?>
<x:sst xmlns:x="http://schemas.openxmlformats.org/spreadsheetml/2006/main">
  <x:si>
    <x:t xml:space="preserve">CS12 · Đánh giá sản phẩm AI · Bài tập buổi sáng 16/10/2026</x:t>
  </x:si>
  <x:si>
    <x:t xml:space="preserve">AI in Action · Track 1 · Khóa 4. Bài tập đi kèm bộ slide "AI Evaluation" của chị Mai Anh Nguyen (66 trang). Slide của chị Mai Anh giữ nguyên; file này là phần thực hành.</x:t>
  </x:si>
  <x:si>
    <x:t xml:space="preserve">Luật chơi: CHỈ điền vào ô màu VÀNG. Ô màu XANH LÁ NHẠT tự tính và đã khoá. Cột "Kiểm tra" báo Đúng hoặc Chưa đúng ngay khi điền.</x:t>
  </x:si>
  <x:si>
    <x:t xml:space="preserve">Bài 1–5 (10–12 phút mỗi bài, sau mỗi phần trình chiếu): làm CÁ NHÂN, không tính điểm, để tự biết mình đã hiểu chưa. Chưa đúng: đọc lại trang slide ghi ở cột "Trang", sửa, rồi hỏi trong khung chat.</x:t>
  </x:si>
  <x:si>
    <x:t xml:space="preserve">Xưởng (50 phút, cuối buổi): làm THEO NHÓM 4–6 người trong phòng nhóm. Có chấm điểm theo trang "Thang điểm". Mỗi nhóm nộp 1 file.</x:t>
  </x:si>
  <x:si>
    <x:t xml:space="preserve">Mọi bài dùng chung một tình huống giả định: trợ lý đổi trả của cửa hàng Mộc Store. Đọc trang "0_Tình huống" trước Bài 1 (3 phút).</x:t>
  </x:si>
  <x:si>
    <x:t xml:space="preserve">Tên file nộp: [Nhom]_CS12.xlsx · Nộp lên VLearn trước 13:00 ngày 16/10. Chỉ cần trang Xưởng đã điền; Bài 1–5 điền hay không đều được.</x:t>
  </x:si>
  <x:si>
    <x:t xml:space="preserve">Tỷ lệ gõ kèm dấu % (ví dụ 84%). Số thập phân dùng dấu phẩy hay dấu chấm tùy máy; nếu ô báo "Gõ một số" thì đổi dấu.</x:t>
  </x:si>
  <x:si>
    <x:t xml:space="preserve">Đáp án và giải thích: giảng viên chiếu ngay sau mỗi bài; bản đáp án đầy đủ gửi sau buổi học.</x:t>
  </x:si>
  <x:si>
    <x:t xml:space="preserve">Lịch buổi sáng 16/10 (trực tuyến)</x:t>
  </x:si>
  <x:si>
    <x:t xml:space="preserve">Giờ</x:t>
  </x:si>
  <x:si>
    <x:t xml:space="preserve">Hoạt động</x:t>
  </x:si>
  <x:si>
    <x:t xml:space="preserve">Nội dung</x:t>
  </x:si>
  <x:si>
    <x:t xml:space="preserve">Thời lượng</x:t>
  </x:si>
  <x:si>
    <x:t xml:space="preserve">09:00–09:05</x:t>
  </x:si>
  <x:si>
    <x:t xml:space="preserve">Mở đầu</x:t>
  </x:si>
  <x:si>
    <x:t xml:space="preserve">Chào lớp; giới thiệu tình huống Mộc Store (slide bài tập 1–9); trợ giảng gửi đường dẫn tài liệu</x:t>
  </x:si>
  <x:si>
    <x:t xml:space="preserve">09:05–09:20</x:t>
  </x:si>
  <x:si>
    <x:t xml:space="preserve">Trình chiếu</x:t>
  </x:si>
  <x:si>
    <x:t xml:space="preserve">Trang 1–12: khoảng trống đánh giá, tình huống Notion AI</x:t>
  </x:si>
  <x:si>
    <x:t xml:space="preserve">09:20–09:40</x:t>
  </x:si>
  <x:si>
    <x:t xml:space="preserve">Phần 01 · trang 13–23: vòng đời đánh giá, báo cáo, tài liệu yêu cầu</x:t>
  </x:si>
  <x:si>
    <x:t xml:space="preserve">09:40–09:50</x:t>
  </x:si>
  <x:si>
    <x:t xml:space="preserve">Bài 1</x:t>
  </x:si>
  <x:si>
    <x:t xml:space="preserve">Đọc báo cáo đánh giá và thu hẹp phạm vi</x:t>
  </x:si>
  <x:si>
    <x:t xml:space="preserve">10 phút</x:t>
  </x:si>
  <x:si>
    <x:t xml:space="preserve">09:50–10:05</x:t>
  </x:si>
  <x:si>
    <x:t xml:space="preserve">Phần 02 · trang 24–30: phủ ca, lưới đầu vào, ngân hàng tình huống</x:t>
  </x:si>
  <x:si>
    <x:t xml:space="preserve">10:05–10:17</x:t>
  </x:si>
  <x:si>
    <x:t xml:space="preserve">Bài 2</x:t>
  </x:si>
  <x:si>
    <x:t xml:space="preserve">Phủ ca và chọn tình huống</x:t>
  </x:si>
  <x:si>
    <x:t xml:space="preserve">12 phút</x:t>
  </x:si>
  <x:si>
    <x:t xml:space="preserve">10:17–10:27</x:t>
  </x:si>
  <x:si>
    <x:t xml:space="preserve">Nghỉ</x:t>
  </x:si>
  <x:si>
    <x:t xml:space="preserve">Nghỉ 10 phút</x:t>
  </x:si>
  <x:si>
    <x:t xml:space="preserve">10:27–10:40</x:t>
  </x:si>
  <x:si>
    <x:t xml:space="preserve">Phần 03 · trang 31–36: đọc vết thực thi, mã lỗi</x:t>
  </x:si>
  <x:si>
    <x:t xml:space="preserve">10:40–10:50</x:t>
  </x:si>
  <x:si>
    <x:t xml:space="preserve">Bài 3</x:t>
  </x:si>
  <x:si>
    <x:t xml:space="preserve">Đọc vết thực thi, tìm bước sai đầu tiên</x:t>
  </x:si>
  <x:si>
    <x:t xml:space="preserve">10:50–11:12</x:t>
  </x:si>
  <x:si>
    <x:t xml:space="preserve">Phần 04–05 · trang 37–50: chấm tự động, chấm bằng mã lệnh</x:t>
  </x:si>
  <x:si>
    <x:t xml:space="preserve">11:12–11:22</x:t>
  </x:si>
  <x:si>
    <x:t xml:space="preserve">Bài 4</x:t>
  </x:si>
  <x:si>
    <x:t xml:space="preserve">Chọn cách chấm và ra kết luận</x:t>
  </x:si>
  <x:si>
    <x:t xml:space="preserve">11:22–11:32</x:t>
  </x:si>
  <x:si>
    <x:t xml:space="preserve">11:32–11:48</x:t>
  </x:si>
  <x:si>
    <x:t xml:space="preserve">Phần 06 · trang 51–59: hiệu chỉnh giám khảo AI</x:t>
  </x:si>
  <x:si>
    <x:t xml:space="preserve">11:48–11:58</x:t>
  </x:si>
  <x:si>
    <x:t xml:space="preserve">Bài 5</x:t>
  </x:si>
  <x:si>
    <x:t xml:space="preserve">Hiệu chỉnh giám khảo AI</x:t>
  </x:si>
  <x:si>
    <x:t xml:space="preserve">11:58–12:06</x:t>
  </x:si>
  <x:si>
    <x:t xml:space="preserve">Phần 07 · trang 60–66: đưa chuyên gia vào vòng lặp, tổng kết</x:t>
  </x:si>
  <x:si>
    <x:t xml:space="preserve">12:06–12:56</x:t>
  </x:si>
  <x:si>
    <x:t xml:space="preserve">Xưởng</x:t>
  </x:si>
  <x:si>
    <x:t xml:space="preserve">Hướng dẫn 4 phút; làm trong phòng nhóm 12:10–12:53; soát và nộp 12:53–12:56 (nhóm 4–6 người, có chấm điểm)</x:t>
  </x:si>
  <x:si>
    <x:t xml:space="preserve">50 phút</x:t>
  </x:si>
  <x:si>
    <x:t xml:space="preserve">12:56–13:00</x:t>
  </x:si>
  <x:si>
    <x:t xml:space="preserve">Nộp bài</x:t>
  </x:si>
  <x:si>
    <x:t xml:space="preserve">Nộp file lên VLearn, kết thúc buổi sáng</x:t>
  </x:si>
  <x:si>
    <x:t xml:space="preserve">Hồ sơ tình huống · Trợ lý đổi trả của Mộc Store (giả định)</x:t>
  </x:si>
  <x:si>
    <x:t xml:space="preserve">Mộc Store là cửa hàng thời trang bán online (áo, quần, giày) qua website và Zalo. Tình huống giả định, dùng cho toàn bộ buổi sáng.</x:t>
  </x:si>
  <x:si>
    <x:t xml:space="preserve">Trợ lý AI "Mộc" trả lời tin nhắn về đổi hàng, trả hàng và tình trạng đơn. Khoảng 300 tin nhắn loại này mỗi ngày.</x:t>
  </x:si>
  <x:si>
    <x:t xml:space="preserve">Chuyên gia: chị Ngân, trưởng nhóm chăm sóc khách hàng, 6 năm kinh nghiệm. Chị là người định nghĩa thế nào là "đạt".</x:t>
  </x:si>
  <x:si>
    <x:t xml:space="preserve">Chính sách đổi trả</x:t>
  </x:si>
  <x:si>
    <x:t xml:space="preserve">Mã</x:t>
  </x:si>
  <x:si>
    <x:t xml:space="preserve">Quy định</x:t>
  </x:si>
  <x:si>
    <x:t xml:space="preserve">CS-1</x:t>
  </x:si>
  <x:si>
    <x:t xml:space="preserve">Đổi size hoặc màu</x:t>
  </x:si>
  <x:si>
    <x:t xml:space="preserve">Trong 7 ngày kể từ ngày nhận hàng, hàng còn tem mác. Miễn phí đổi lần đầu.</x:t>
  </x:si>
  <x:si>
    <x:t xml:space="preserve">CS-2</x:t>
  </x:si>
  <x:si>
    <x:t xml:space="preserve">Trả hàng, hoàn tiền</x:t>
  </x:si>
  <x:si>
    <x:t xml:space="preserve">Trong 7 ngày kể từ ngày nhận hàng. Tiền hoàn trong 3–5 ngày làm việc sau khi kho nhận lại hàng.</x:t>
  </x:si>
  <x:si>
    <x:t xml:space="preserve">CS-3</x:t>
  </x:si>
  <x:si>
    <x:t xml:space="preserve">Hàng lỗi (bong keo, rách, sai mẫu)</x:t>
  </x:si>
  <x:si>
    <x:t xml:space="preserve">Trong 30 ngày kể từ ngày nhận hàng. Trợ lý chuyển nhân viên xử lý, không tự hứa đền bù.</x:t>
  </x:si>
  <x:si>
    <x:t xml:space="preserve">CS-4</x:t>
  </x:si>
  <x:si>
    <x:t xml:space="preserve">Tra cứu trước khi hứa</x:t>
  </x:si>
  <x:si>
    <x:t xml:space="preserve">Trước khi xác nhận đổi, trả hay hoàn tiền: phải tra cứu đơn (ngày nhận, trạng thái).</x:t>
  </x:si>
  <x:si>
    <x:t xml:space="preserve">CS-5</x:t>
  </x:si>
  <x:si>
    <x:t xml:space="preserve">Thiếu mã đơn</x:t>
  </x:si>
  <x:si>
    <x:t xml:space="preserve">Hỏi mã đơn hoặc số điện thoại đặt hàng. Không đoán đơn.</x:t>
  </x:si>
  <x:si>
    <x:t xml:space="preserve">CS-6</x:t>
  </x:si>
  <x:si>
    <x:t xml:space="preserve">Khách muốn gặp người</x:t>
  </x:si>
  <x:si>
    <x:t xml:space="preserve">Khách yêu cầu gặp nhân viên, hoặc khiếu nại hàng lỗi: chuyển nhân viên.</x:t>
  </x:si>
  <x:si>
    <x:t xml:space="preserve">4 nhãn ý định (giống trang 16): Đổi hàng · Trả hàng · Tra cứu đơn · Cần làm rõ</x:t>
  </x:si>
  <x:si>
    <x:t xml:space="preserve">Tin khiếu nại hàng lỗi gắn nhãn Trả hàng kèm cờ "hàng lỗi: có". Tin không rõ đơn nào hoặc không rõ muốn gì gắn nhãn Cần làm rõ.</x:t>
  </x:si>
  <x:si>
    <x:t xml:space="preserve">Công cụ trợ lý gọi được</x:t>
  </x:si>
  <x:si>
    <x:t xml:space="preserve">Công cụ</x:t>
  </x:si>
  <x:si>
    <x:t xml:space="preserve">Làm gì</x:t>
  </x:si>
  <x:si>
    <x:t xml:space="preserve">1</x:t>
  </x:si>
  <x:si>
    <x:t xml:space="preserve">tra_cuu_don</x:t>
  </x:si>
  <x:si>
    <x:t xml:space="preserve">tra đơn theo mã đơn hoặc số điện thoại; trả về ngày nhận hàng và trạng thái</x:t>
  </x:si>
  <x:si>
    <x:t xml:space="preserve">2</x:t>
  </x:si>
  <x:si>
    <x:t xml:space="preserve">tao_yeu_cau_doi_tra</x:t>
  </x:si>
  <x:si>
    <x:t xml:space="preserve">tạo yêu cầu đổi hoặc trả cho một mã đơn</x:t>
  </x:si>
  <x:si>
    <x:t xml:space="preserve">3</x:t>
  </x:si>
  <x:si>
    <x:t xml:space="preserve">chuyen_nhan_vien</x:t>
  </x:si>
  <x:si>
    <x:t xml:space="preserve">chuyển cuộc trò chuyện cho nhân viên, kèm lý do</x:t>
  </x:si>
  <x:si>
    <x:t xml:space="preserve">Chưa có công cụ tra tồn kho (dùng ở Bài 4).</x:t>
  </x:si>
  <x:si>
    <x:t xml:space="preserve">Mã lỗi dùng ở Bài 3 và Xưởng (trang 35)</x:t>
  </x:si>
  <x:si>
    <x:t xml:space="preserve">Mã lỗi</x:t>
  </x:si>
  <x:si>
    <x:t xml:space="preserve">Nghĩa</x:t>
  </x:si>
  <x:si>
    <x:t xml:space="preserve">wrong_intent</x:t>
  </x:si>
  <x:si>
    <x:t xml:space="preserve">Hiểu sai nhu cầu chính của khách</x:t>
  </x:si>
  <x:si>
    <x:t xml:space="preserve">missing_lookup</x:t>
  </x:si>
  <x:si>
    <x:t xml:space="preserve">Không tra cứu dữ liệu trước khi trả lời</x:t>
  </x:si>
  <x:si>
    <x:t xml:space="preserve">premature_commit</x:t>
  </x:si>
  <x:si>
    <x:t xml:space="preserve">Hứa kết quả khi chưa đủ điều kiện</x:t>
  </x:si>
  <x:si>
    <x:t xml:space="preserve">4</x:t>
  </x:si>
  <x:si>
    <x:t xml:space="preserve">missing_escalation</x:t>
  </x:si>
  <x:si>
    <x:t xml:space="preserve">Không chuyển nhân viên khi vượt thẩm quyền</x:t>
  </x:si>
  <x:si>
    <x:t xml:space="preserve">5</x:t>
  </x:si>
  <x:si>
    <x:t xml:space="preserve">no_next_step</x:t>
  </x:si>
  <x:si>
    <x:t xml:space="preserve">Đúng chính sách nhưng thiếu bước tiếp theo</x:t>
  </x:si>
  <x:si>
    <x:t xml:space="preserve">Bảng đối chiếu từ ngữ: slide của chị Mai Anh ↔ bài tập</x:t>
  </x:si>
  <x:si>
    <x:t xml:space="preserve">Trên slide</x:t>
  </x:si>
  <x:si>
    <x:t xml:space="preserve">Trong bài tập</x:t>
  </x:si>
  <x:si>
    <x:t xml:space="preserve">eval, evals</x:t>
  </x:si>
  <x:si>
    <x:t xml:space="preserve">bài đánh giá</x:t>
  </x:si>
  <x:si>
    <x:t xml:space="preserve">reference dataset, dataset</x:t>
  </x:si>
  <x:si>
    <x:t xml:space="preserve">bộ đề chuẩn, bộ đề</x:t>
  </x:si>
  <x:si>
    <x:t xml:space="preserve">golden outputs</x:t>
  </x:si>
  <x:si>
    <x:t xml:space="preserve">đáp án mẫu</x:t>
  </x:si>
  <x:si>
    <x:t xml:space="preserve">baseline · candidate</x:t>
  </x:si>
  <x:si>
    <x:t xml:space="preserve">bản đang chạy · bản mới</x:t>
  </x:si>
  <x:si>
    <x:t xml:space="preserve">pass rate</x:t>
  </x:si>
  <x:si>
    <x:t xml:space="preserve">tỷ lệ đạt</x:t>
  </x:si>
  <x:si>
    <x:t xml:space="preserve">6</x:t>
  </x:si>
  <x:si>
    <x:t xml:space="preserve">quality gate, threshold</x:t>
  </x:si>
  <x:si>
    <x:t xml:space="preserve">cổng chất lượng, ngưỡng</x:t>
  </x:si>
  <x:si>
    <x:t xml:space="preserve">7</x:t>
  </x:si>
  <x:si>
    <x:t xml:space="preserve">regression</x:t>
  </x:si>
  <x:si>
    <x:t xml:space="preserve">hồi quy: ca trước đạt, nay trượt</x:t>
  </x:si>
  <x:si>
    <x:t xml:space="preserve">8</x:t>
  </x:si>
  <x:si>
    <x:t xml:space="preserve">slice</x:t>
  </x:si>
  <x:si>
    <x:t xml:space="preserve">nhóm (cắt theo một thuộc tính)</x:t>
  </x:si>
  <x:si>
    <x:t xml:space="preserve">9</x:t>
  </x:si>
  <x:si>
    <x:t xml:space="preserve">unit of AI work</x:t>
  </x:si>
  <x:si>
    <x:t xml:space="preserve">đơn vị công việc AI</x:t>
  </x:si>
  <x:si>
    <x:t xml:space="preserve">10</x:t>
  </x:si>
  <x:si>
    <x:t xml:space="preserve">dimension</x:t>
  </x:si>
  <x:si>
    <x:t xml:space="preserve">chiều</x:t>
  </x:si>
  <x:si>
    <x:t xml:space="preserve">11</x:t>
  </x:si>
  <x:si>
    <x:t xml:space="preserve">User Input Grid</x:t>
  </x:si>
  <x:si>
    <x:t xml:space="preserve">lưới đầu vào</x:t>
  </x:si>
  <x:si>
    <x:t xml:space="preserve">12</x:t>
  </x:si>
  <x:si>
    <x:t xml:space="preserve">representative · challenge · critical regression</x:t>
  </x:si>
  <x:si>
    <x:t xml:space="preserve">đại diện · thử thách · hồi quy nghiêm trọng</x:t>
  </x:si>
  <x:si>
    <x:t xml:space="preserve">13</x:t>
  </x:si>
  <x:si>
    <x:t xml:space="preserve">trace · transcript</x:t>
  </x:si>
  <x:si>
    <x:t xml:space="preserve">vết thực thi · lời trợ lý nói</x:t>
  </x:si>
  <x:si>
    <x:t xml:space="preserve">14</x:t>
  </x:si>
  <x:si>
    <x:t xml:space="preserve">trace codes</x:t>
  </x:si>
  <x:si>
    <x:t xml:space="preserve">mã lỗi (giữ nguyên tên như trang 35)</x:t>
  </x:si>
  <x:si>
    <x:t xml:space="preserve">15</x:t>
  </x:si>
  <x:si>
    <x:t xml:space="preserve">specification gap · architectural issue · generalization gap</x:t>
  </x:si>
  <x:si>
    <x:t xml:space="preserve">thiếu đặc tả · thiếu năng lực hệ thống · thiếu nhất quán</x:t>
  </x:si>
  <x:si>
    <x:t xml:space="preserve">16</x:t>
  </x:si>
  <x:si>
    <x:t xml:space="preserve">code-based eval</x:t>
  </x:si>
  <x:si>
    <x:t xml:space="preserve">chấm bằng mã lệnh</x:t>
  </x:si>
  <x:si>
    <x:t xml:space="preserve">17</x:t>
  </x:si>
  <x:si>
    <x:t xml:space="preserve">LLM judge, LLM-as-judge</x:t>
  </x:si>
  <x:si>
    <x:t xml:space="preserve">giám khảo AI</x:t>
  </x:si>
  <x:si>
    <x:t xml:space="preserve">18</x:t>
  </x:si>
  <x:si>
    <x:t xml:space="preserve">referent</x:t>
  </x:si>
  <x:si>
    <x:t xml:space="preserve">căn cứ kiểm chứng</x:t>
  </x:si>
  <x:si>
    <x:t xml:space="preserve">19</x:t>
  </x:si>
  <x:si>
    <x:t xml:space="preserve">calibration</x:t>
  </x:si>
  <x:si>
    <x:t xml:space="preserve">hiệu chỉnh</x:t>
  </x:si>
  <x:si>
    <x:t xml:space="preserve">20</x:t>
  </x:si>
  <x:si>
    <x:t xml:space="preserve">TPR</x:t>
  </x:si>
  <x:si>
    <x:t xml:space="preserve">tỷ lệ nhận đúng ca đạt</x:t>
  </x:si>
  <x:si>
    <x:t xml:space="preserve">21</x:t>
  </x:si>
  <x:si>
    <x:t xml:space="preserve">TNR</x:t>
  </x:si>
  <x:si>
    <x:t xml:space="preserve">tỷ lệ bắt đúng ca trượt</x:t>
  </x:si>
  <x:si>
    <x:t xml:space="preserve">22</x:t>
  </x:si>
  <x:si>
    <x:t xml:space="preserve">near-miss example</x:t>
  </x:si>
  <x:si>
    <x:t xml:space="preserve">ví dụ sát ranh</x:t>
  </x:si>
  <x:si>
    <x:t xml:space="preserve">23</x:t>
  </x:si>
  <x:si>
    <x:t xml:space="preserve">dev set · test set</x:t>
  </x:si>
  <x:si>
    <x:t xml:space="preserve">tập hiệu chỉnh · tập kiểm tra giữ riêng</x:t>
  </x:si>
  <x:si>
    <x:t xml:space="preserve">24</x:t>
  </x:si>
  <x:si>
    <x:t xml:space="preserve">Ship · Iterate · Revert</x:t>
  </x:si>
  <x:si>
    <x:t xml:space="preserve">Phát hành · Lặp tiếp · Quay về bản cũ</x:t>
  </x:si>
  <x:si>
    <x:t xml:space="preserve">25</x:t>
  </x:si>
  <x:si>
    <x:t xml:space="preserve">prompt · tool call · latency</x:t>
  </x:si>
  <x:si>
    <x:t xml:space="preserve">câu lệnh · lời gọi công cụ · thời gian phản hồi</x:t>
  </x:si>
  <x:si>
    <x:t xml:space="preserve">26</x:t>
  </x:si>
  <x:si>
    <x:t xml:space="preserve">expert in the loop</x:t>
  </x:si>
  <x:si>
    <x:t xml:space="preserve">đưa chuyên gia vào vòng lặp</x:t>
  </x:si>
  <x:si>
    <x:t xml:space="preserve">Bài 1 · Đọc báo cáo đánh giá và thu hẹp phạm vi (10 phút) · sau Phần 01 · trang 13–23</x:t>
  </x:si>
  <x:si>
    <x:t xml:space="preserve">Làm cá nhân, không tính điểm. Điền ô vàng ở cột C; cột D tự báo kết quả.</x:t>
  </x:si>
  <x:si>
    <x:t xml:space="preserve">Nhóm vừa đổi câu lệnh của trợ lý Mộc (v1.3 → v1.4) và chạy lại trên bộ đề chuẩn 50 tin nhắn đã có nhãn đúng.</x:t>
  </x:si>
  <x:si>
    <x:t xml:space="preserve">Cổng chất lượng chốt trước khi chạy: tỷ lệ đúng tổng từ 82% trở lên.</x:t>
  </x:si>
  <x:si>
    <x:t xml:space="preserve">Có 3 tin "hồi quy" (v1.3 đúng, v1.4 sai), cả 3 nằm ở nhóm Tra cứu đơn.</x:t>
  </x:si>
  <x:si>
    <x:t xml:space="preserve">Nhóm ý định</x:t>
  </x:si>
  <x:si>
    <x:t xml:space="preserve">Số tin trong bộ đề</x:t>
  </x:si>
  <x:si>
    <x:t xml:space="preserve">v1.3 đúng (bản đang chạy)</x:t>
  </x:si>
  <x:si>
    <x:t xml:space="preserve">v1.4 đúng (bản mới)</x:t>
  </x:si>
  <x:si>
    <x:t xml:space="preserve">Đổi hàng</x:t>
  </x:si>
  <x:si>
    <x:t xml:space="preserve">Trả hàng</x:t>
  </x:si>
  <x:si>
    <x:t xml:space="preserve">Tra cứu đơn</x:t>
  </x:si>
  <x:si>
    <x:t xml:space="preserve">Tổng</x:t>
  </x:si>
  <x:si>
    <x:t xml:space="preserve">Câu 1.6: A. Phát hành ngay: tổng tăng 4 điểm và đã qua cổng.  ·  B. Chưa phát hành: mở đọc 3 tin hồi quy ở nhóm Tra cứu đơn, hiểu vì sao sai rồi mới quyết định.  ·  C. Quay về v1.3: tổng chỉ tăng 2 tin, chắc chắn là nhiễu.</x:t>
  </x:si>
  <x:si>
    <x:t xml:space="preserve">Câu 1.8: A. Làm khách hài lòng hơn mỗi khi đổi trả.  ·  B. Đọc 1 tin nhắn đổi trả → gắn đúng 1 trong 4 nhãn ý định, dưới 2 giây.  ·  C. Trả lời mọi câu hỏi của khách về đơn hàng và chính sách.</x:t>
  </x:si>
  <x:si>
    <x:t xml:space="preserve">Câu 1.9: Trục 1. Tách theo việc  ·  Trục 2. Tách theo điều kiện đầu vào  ·  Trục 3. Tách theo mức tự chủ</x:t>
  </x:si>
  <x:si>
    <x:t xml:space="preserve">Câu</x:t>
  </x:si>
  <x:si>
    <x:t xml:space="preserve">Đề</x:t>
  </x:si>
  <x:si>
    <x:t xml:space="preserve">Trả lời</x:t>
  </x:si>
  <x:si>
    <x:t xml:space="preserve">Kiểm tra</x:t>
  </x:si>
  <x:si>
    <x:t xml:space="preserve">Trang</x:t>
  </x:si>
  <x:si>
    <x:t xml:space="preserve">1.1</x:t>
  </x:si>
  <x:si>
    <x:t xml:space="preserve">Trên bộ 50 tin, 1 tin đổi kết quả làm tỷ lệ đúng thay đổi bao nhiêu điểm phần trăm? (gõ một số)</x:t>
  </x:si>
  <x:si>
    <x:t xml:space="preserve">1.2</x:t>
  </x:si>
  <x:si>
    <x:t xml:space="preserve">Tỷ lệ đúng tổng của v1.4 là bao nhiêu? (gõ kèm %)</x:t>
  </x:si>
  <x:si>
    <x:t xml:space="preserve">1.3</x:t>
  </x:si>
  <x:si>
    <x:t xml:space="preserve">v1.4 có qua cổng chất lượng (≥ 82%) không?  (chọn: Có / Không)</x:t>
  </x:si>
  <x:si>
    <x:t xml:space="preserve">1.4</x:t>
  </x:si>
  <x:si>
    <x:t xml:space="preserve">Tỷ lệ đúng của nhóm Tra cứu đơn ở v1.4 là bao nhiêu? (gõ kèm %)</x:t>
  </x:si>
  <x:si>
    <x:t xml:space="preserve">1.5</x:t>
  </x:si>
  <x:si>
    <x:t xml:space="preserve">Nhóm Tra cứu đơn tụt bao nhiêu điểm phần trăm? (gõ một số)</x:t>
  </x:si>
  <x:si>
    <x:t xml:space="preserve">1.6</x:t>
  </x:si>
  <x:si>
    <x:t xml:space="preserve">Kết luận nào đúng?</x:t>
  </x:si>
  <x:si>
    <x:t xml:space="preserve">1.7</x:t>
  </x:si>
  <x:si>
    <x:t xml:space="preserve">Muốn tin một khoảng chênh 3 điểm phần trăm là thật (độ tin 95%), cần khoảng bao nhiêu ca?  (chọn: Khoảng 100 ca / Khoảng 1.000 ca / Khoảng 10.000 ca)</x:t>
  </x:si>
  <x:si>
    <x:t xml:space="preserve">1.8</x:t>
  </x:si>
  <x:si>
    <x:t xml:space="preserve">Mục tiêu "Dùng AI để chăm sóc khách đổi trả tốt hơn" quá rộng. Câu nào là đơn vị công việc AI đo được?</x:t>
  </x:si>
  <x:si>
    <x:t xml:space="preserve">1.9</x:t>
  </x:si>
  <x:si>
    <x:t xml:space="preserve">Tách "tin nhắn rõ ràng" và "tin nhắn mơ hồ" để đặt kỳ vọng khác nhau (tin mơ hồ thì hỏi lại) là thu hẹp theo trục nào?</x:t>
  </x:si>
  <x:si>
    <x:t xml:space="preserve">Số câu đúng</x:t>
  </x:si>
  <x:si>
    <x:t xml:space="preserve">/ 9 câu</x:t>
  </x:si>
  <x:si>
    <x:t xml:space="preserve">Bài 2 · Phủ ca và chọn tình huống (12 phút) · sau Phần 02 · trang 24–30</x:t>
  </x:si>
  <x:si>
    <x:t xml:space="preserve">Phép thử chiều (trang 26): đổi giá trị của một thuộc tính trong tin nhắn → hành vi đúng của trợ lý có đổi không?</x:t>
  </x:si>
  <x:si>
    <x:t xml:space="preserve">Có đổi → là một chiều của lưới. Không đổi → chỉ là cách diễn đạt, để AI viết lại, không tốn một chiều.</x:t>
  </x:si>
  <x:si>
    <x:t xml:space="preserve">Câu 2.14: A. Nhờ AI tạo 50 câu kiểm thử là đủ phủ.  ·  B. Người chọn ô cần thử trên lưới; AI chỉ viết thêm cách diễn đạt cho từng ô.  ·  C. Càng nhiều dòng thì bộ đề càng phủ tốt.</x:t>
  </x:si>
  <x:si>
    <x:t xml:space="preserve">2.1</x:t>
  </x:si>
  <x:si>
    <x:t xml:space="preserve">Khách viết có dấu hay không dấu. Đây có phải một chiều?  (chọn: Có / Không)</x:t>
  </x:si>
  <x:si>
    <x:t xml:space="preserve">2.2</x:t>
  </x:si>
  <x:si>
    <x:t xml:space="preserve">Tin nhắn có mã đơn hay không có mã đơn. Đây có phải một chiều?  (chọn: Có / Không)</x:t>
  </x:si>
  <x:si>
    <x:t xml:space="preserve">2.3</x:t>
  </x:si>
  <x:si>
    <x:t xml:space="preserve">Khách nói lịch sự hay cộc lốc. Đây có phải một chiều?  (chọn: Có / Không)</x:t>
  </x:si>
  <x:si>
    <x:t xml:space="preserve">2.4</x:t>
  </x:si>
  <x:si>
    <x:t xml:space="preserve">Đơn còn trong 7 ngày, đã quá 7 ngày, hay là hàng lỗi trong 30 ngày. Đây có phải một chiều?  (chọn: Có / Không)</x:t>
  </x:si>
  <x:si>
    <x:t xml:space="preserve">2.5</x:t>
  </x:si>
  <x:si>
    <x:t xml:space="preserve">Tin nhắn có 1 ý hay 2 ý (một đơn muốn đổi, một đơn muốn trả). Đây có phải một chiều?  (chọn: Có / Không)</x:t>
  </x:si>
  <x:si>
    <x:t xml:space="preserve">2.6</x:t>
  </x:si>
  <x:si>
    <x:t xml:space="preserve">Tin nhắn dài hay ngắn (cùng nội dung). Đây có phải một chiều?  (chọn: Có / Không)</x:t>
  </x:si>
  <x:si>
    <x:t xml:space="preserve">2.7</x:t>
  </x:si>
  <x:si>
    <x:t xml:space="preserve">Nhóm chọn 3 chiều: Ý định (4 giá trị) × Độ đủ thông tin (3 giá trị: đủ, thiếu mã đơn, mơ hồ) × Tình trạng đơn (3 giá trị: trong hạn, quá hạn, hàng lỗi). Có bao nhiêu tổ hợp?</x:t>
  </x:si>
  <x:si>
    <x:t xml:space="preserve">29</x:t>
  </x:si>
  <x:si>
    <x:t xml:space="preserve">2.8</x:t>
  </x:si>
  <x:si>
    <x:t xml:space="preserve">Nhóm loại 12 tổ hợp phi lý. Còn lại bao nhiêu tổ hợp?</x:t>
  </x:si>
  <x:si>
    <x:t xml:space="preserve">2.9</x:t>
  </x:si>
  <x:si>
    <x:t xml:space="preserve">Từ 24 tổ hợp, nhóm chọn 16 tình huống đáng thử; mỗi tình huống viết 3 cách diễn đạt. Bộ đề có bao nhiêu đầu vào?</x:t>
  </x:si>
  <x:si>
    <x:t xml:space="preserve">2.10</x:t>
  </x:si>
  <x:si>
    <x:t xml:space="preserve">"Mình nhận áo hôm qua, chật quá, đổi sang size L giúp mình, mã MS-1043." Loại tình huống?  (chọn: Đại diện / Thử thách / Hồi quy nghiêm trọng)</x:t>
  </x:si>
  <x:si>
    <x:t xml:space="preserve">30</x:t>
  </x:si>
  <x:si>
    <x:t xml:space="preserve">2.11</x:t>
  </x:si>
  <x:si>
    <x:t xml:space="preserve">"Cái đơn hôm bữa ấy, thôi giờ mình không lấy nữa được không?" Loại tình huống?  (chọn: Đại diện / Thử thách / Hồi quy nghiêm trọng)</x:t>
  </x:si>
  <x:si>
    <x:t xml:space="preserve">2.12</x:t>
  </x:si>
  <x:si>
    <x:t xml:space="preserve">"Mình đặt 2 đơn, đơn MS-1050 muốn trả, đơn MS-1051 muốn đổi size." Loại tình huống?  (chọn: Đại diện / Thử thách / Hồi quy nghiêm trọng)</x:t>
  </x:si>
  <x:si>
    <x:t xml:space="preserve">2.13</x:t>
  </x:si>
  <x:si>
    <x:t xml:space="preserve">"Đơn MS-0871 mình nhận 20 ngày rồi, trả lấy tiền được không?" Tuần trước trợ lý từng hứa hoàn tiền cho đúng kiểu tin này. Loại tình huống?  (chọn: Đại diện / Thử thách / Hồi quy nghiêm trọng)</x:t>
  </x:si>
  <x:si>
    <x:t xml:space="preserve">2.14</x:t>
  </x:si>
  <x:si>
    <x:t xml:space="preserve">Câu nào đúng về việc dùng AI tạo ca kiểm thử?</x:t>
  </x:si>
  <x:si>
    <x:t xml:space="preserve">/ 14 câu</x:t>
  </x:si>
  <x:si>
    <x:t xml:space="preserve">Bài 3 · Đọc vết thực thi, tìm bước sai đầu tiên (10 phút) · sau Phần 03 · trang 31–36</x:t>
  </x:si>
  <x:si>
    <x:t xml:space="preserve">Đọc 4 vết thực thi của trợ lý Mộc. Với mỗi vết: tìm bước sai ĐẦU TIÊN (trang 33: lỗi bắt đầu ở đâu, bước sau chỉ là hệ quả) và gắn 1 mã lỗi gốc (trang 35).</x:t>
  </x:si>
  <x:si>
    <x:t xml:space="preserve">Đối chiếu với chính sách CS-1 đến CS-6 trong hồ sơ tình huống.</x:t>
  </x:si>
  <x:si>
    <x:t xml:space="preserve">Vết</x:t>
  </x:si>
  <x:si>
    <x:t xml:space="preserve">Bước · loại · nội dung</x:t>
  </x:si>
  <x:si>
    <x:t xml:space="preserve">T1</x:t>
  </x:si>
  <x:si>
    <x:t xml:space="preserve">1 · Khách: "Đơn MS-1043 mình nhận hôm qua, áo chật, đổi size L được không?"</x:t>
  </x:si>
  <x:si>
    <x:t xml:space="preserve">2 · Phân loại ý định: Tra cứu đơn</x:t>
  </x:si>
  <x:si>
    <x:t xml:space="preserve">3 · Công cụ: tra_cuu_don(MS-1043) → đã giao ngày 13/10</x:t>
  </x:si>
  <x:si>
    <x:t xml:space="preserve">4 · Trả lời: "Đơn MS-1043 đã giao thành công ngày 13/10. Bạn cần hỗ trợ gì thêm không ạ?"</x:t>
  </x:si>
  <x:si>
    <x:t xml:space="preserve">5 · Phản hồi: Không thích: "mình hỏi đổi size mà"</x:t>
  </x:si>
  <x:si>
    <x:t xml:space="preserve">T2</x:t>
  </x:si>
  <x:si>
    <x:t xml:space="preserve">1 · Khách: "Mình muốn trả đôi giày mua tháng trước, hoàn tiền giúp mình." (không có mã đơn)</x:t>
  </x:si>
  <x:si>
    <x:t xml:space="preserve">2 · Phân loại ý định: Trả hàng</x:t>
  </x:si>
  <x:si>
    <x:t xml:space="preserve">3 · Công cụ: (không gọi công cụ nào)</x:t>
  </x:si>
  <x:si>
    <x:t xml:space="preserve">4 · Trả lời: "Dạ shop đã ghi nhận, tiền sẽ về tài khoản bạn trong 3–5 ngày ạ."</x:t>
  </x:si>
  <x:si>
    <x:t xml:space="preserve">T3</x:t>
  </x:si>
  <x:si>
    <x:t xml:space="preserve">1 · Khách: "Giày mua 20 ngày, đế bong hết rồi. Cho mình gặp người phụ trách." Mã MS-0990</x:t>
  </x:si>
  <x:si>
    <x:t xml:space="preserve">2 · Phân loại ý định: Trả hàng · dấu hiệu hàng lỗi: có</x:t>
  </x:si>
  <x:si>
    <x:t xml:space="preserve">3 · Công cụ: tra_cuu_don(MS-0990) → nhận hàng 20 ngày trước</x:t>
  </x:si>
  <x:si>
    <x:t xml:space="preserve">4 · Trả lời: "Theo chính sách, đơn quá 7 ngày không được đổi trả ạ." (không gọi chuyen_nhan_vien)</x:t>
  </x:si>
  <x:si>
    <x:t xml:space="preserve">T4</x:t>
  </x:si>
  <x:si>
    <x:t xml:space="preserve">1 · Khách: "Áo chật quá, đổi size M sang L được không? Mã MS-1102."</x:t>
  </x:si>
  <x:si>
    <x:t xml:space="preserve">2 · Phân loại ý định: Đổi hàng</x:t>
  </x:si>
  <x:si>
    <x:t xml:space="preserve">3 · Công cụ: tra_cuu_don(MS-1102) → nhận hàng 2 ngày trước</x:t>
  </x:si>
  <x:si>
    <x:t xml:space="preserve">4 · Trả lời: "Dạ đơn MS-1102 vẫn trong hạn đổi 7 ngày ạ." (kết thúc)</x:t>
  </x:si>
  <x:si>
    <x:t xml:space="preserve">Câu 3.9: A. Lời trả lời trôi chảy, nghe chắc chắn; chỉ vết thực thi mới cho thấy không có bước tra cứu.  ·  B. Vì khách không phàn nàn gì.  ·  C. Vì câu trả lời quá ngắn.</x:t>
  </x:si>
  <x:si>
    <x:t xml:space="preserve">3.1</x:t>
  </x:si>
  <x:si>
    <x:t xml:space="preserve">T1 · Bước sai đầu tiên là bước số mấy?</x:t>
  </x:si>
  <x:si>
    <x:t xml:space="preserve">33</x:t>
  </x:si>
  <x:si>
    <x:t xml:space="preserve">3.2</x:t>
  </x:si>
  <x:si>
    <x:t xml:space="preserve">T1 · Mã lỗi gốc là gì?  (chọn: wrong_intent / missing_lookup / premature_commit / missing_escalation / no_next_step)</x:t>
  </x:si>
  <x:si>
    <x:t xml:space="preserve">35</x:t>
  </x:si>
  <x:si>
    <x:t xml:space="preserve">3.3</x:t>
  </x:si>
  <x:si>
    <x:t xml:space="preserve">T2 · Bước sai đầu tiên là bước số mấy?</x:t>
  </x:si>
  <x:si>
    <x:t xml:space="preserve">3.4</x:t>
  </x:si>
  <x:si>
    <x:t xml:space="preserve">T2 · Mã lỗi gốc là gì?  (chọn: wrong_intent / missing_lookup / premature_commit / missing_escalation / no_next_step)</x:t>
  </x:si>
  <x:si>
    <x:t xml:space="preserve">3.5</x:t>
  </x:si>
  <x:si>
    <x:t xml:space="preserve">T3 · Bước sai đầu tiên là bước số mấy?</x:t>
  </x:si>
  <x:si>
    <x:t xml:space="preserve">3.6</x:t>
  </x:si>
  <x:si>
    <x:t xml:space="preserve">T3 · Mã lỗi gốc là gì?  (chọn: wrong_intent / missing_lookup / premature_commit / missing_escalation / no_next_step)</x:t>
  </x:si>
  <x:si>
    <x:t xml:space="preserve">3.7</x:t>
  </x:si>
  <x:si>
    <x:t xml:space="preserve">T4 · Bước sai đầu tiên là bước số mấy?</x:t>
  </x:si>
  <x:si>
    <x:t xml:space="preserve">3.8</x:t>
  </x:si>
  <x:si>
    <x:t xml:space="preserve">T4 · Mã lỗi gốc là gì?  (chọn: wrong_intent / missing_lookup / premature_commit / missing_escalation / no_next_step)</x:t>
  </x:si>
  <x:si>
    <x:t xml:space="preserve">3.9</x:t>
  </x:si>
  <x:si>
    <x:t xml:space="preserve">T2 · Vì sao chỉ đọc lời trợ lý nói thì không thấy lỗi?</x:t>
  </x:si>
  <x:si>
    <x:t xml:space="preserve">32</x:t>
  </x:si>
  <x:si>
    <x:t xml:space="preserve">Bài 4 · Chọn cách chấm và ra kết luận (10 phút) · sau Phần 04–05 · trang 37–50</x:t>
  </x:si>
  <x:si>
    <x:t xml:space="preserve">Ba câu hỏi trước khi viết bài đánh giá (trang 39). Chọn bộ chấm theo căn cứ kiểm chứng (trang 40–41). Đọc mã kiểm tra nhãn (trang 44). Kết luận "có răng" (trang 50).</x:t>
  </x:si>
  <x:si>
    <x:t xml:space="preserve">Mã kiểm tra nhãn của Mộc: VALID = {"Đổi hàng", "Trả hàng", "Tra cứu đơn", "Cần làm rõ"}; đếm số nhãn hợp lệ xuất hiện trong đầu ra (so khớp đúng từng chữ). Đúng 1 → Đạt; 0 → Không đạt; từ 2 trở lên → Không đạt.</x:t>
  </x:si>
  <x:si>
    <x:t xml:space="preserve">Bảng cho câu 4.14–4.15: bộ đề 50 tin, mọi ngưỡng chốt trước khi chạy. Quy tắc phát hành (trang 50): mọi tiêu chí đạt ngưỡng và không tiêu chí nào tụt quá 2 điểm so với bản cũ.</x:t>
  </x:si>
  <x:si>
    <x:t xml:space="preserve">Tiêu chí</x:t>
  </x:si>
  <x:si>
    <x:t xml:space="preserve">Ngưỡng chốt trước</x:t>
  </x:si>
  <x:si>
    <x:t xml:space="preserve">v1.3</x:t>
  </x:si>
  <x:si>
    <x:t xml:space="preserve">v1.4</x:t>
  </x:si>
  <x:si>
    <x:t xml:space="preserve">Nhãn ý định đúng</x:t>
  </x:si>
  <x:si>
    <x:t xml:space="preserve">≥ 90%</x:t>
  </x:si>
  <x:si>
    <x:t xml:space="preserve">90%</x:t>
  </x:si>
  <x:si>
    <x:t xml:space="preserve">96%</x:t>
  </x:si>
  <x:si>
    <x:t xml:space="preserve">Bịa mã đơn</x:t>
  </x:si>
  <x:si>
    <x:t xml:space="preserve">0 tin</x:t>
  </x:si>
  <x:si>
    <x:t xml:space="preserve">Thời gian phản hồi (trung vị)</x:t>
  </x:si>
  <x:si>
    <x:t xml:space="preserve">&lt; 2 giây</x:t>
  </x:si>
  <x:si>
    <x:t xml:space="preserve">1,4 giây</x:t>
  </x:si>
  <x:si>
    <x:t xml:space="preserve">1,6 giây</x:t>
  </x:si>
  <x:si>
    <x:t xml:space="preserve">Ghi nhận cảm xúc khách</x:t>
  </x:si>
  <x:si>
    <x:t xml:space="preserve">không tụt quá 2 điểm</x:t>
  </x:si>
  <x:si>
    <x:t xml:space="preserve">84%</x:t>
  </x:si>
  <x:si>
    <x:t xml:space="preserve">76%</x:t>
  </x:si>
  <x:si>
    <x:t xml:space="preserve">Câu 4.13: A. Kết luận trợ lý hỏng, quay về bản cũ.  ·  B. Kiểm tra lại chính bài đánh giá: mẫu so khớp, tên trường dữ liệu.  ·  C. Hạ ngưỡng để có kết quả.</x:t>
  </x:si>
  <x:si>
    <x:t xml:space="preserve">4.1</x:t>
  </x:si>
  <x:si>
    <x:t xml:space="preserve">Trợ lý không bao giờ báo phí gửi hàng khi đổi; câu lệnh chưa hề nhắc đến phí gửi hàng. Xử lý thế nào?  (chọn: Thiếu đặc tả → sửa câu lệnh / Thiếu năng lực hệ thống → sửa kỹ thuật / Lúc được lúc không → viết bài đánh giá tự động)</x:t>
  </x:si>
  <x:si>
    <x:t xml:space="preserve">39</x:t>
  </x:si>
  <x:si>
    <x:t xml:space="preserve">4.2</x:t>
  </x:si>
  <x:si>
    <x:t xml:space="preserve">Trợ lý không trả lời được "size L còn hàng không" vì chưa có công cụ tra tồn kho. Xử lý thế nào?  (chọn: Thiếu đặc tả → sửa câu lệnh / Thiếu năng lực hệ thống → sửa kỹ thuật / Lúc được lúc không → viết bài đánh giá tự động)</x:t>
  </x:si>
  <x:si>
    <x:t xml:space="preserve">4.3</x:t>
  </x:si>
  <x:si>
    <x:t xml:space="preserve">Câu lệnh đã ghi "thiếu mã đơn thì hỏi mã đơn hoặc số điện thoại"; trợ lý lúc hỏi lúc không. Xử lý thế nào?  (chọn: Thiếu đặc tả → sửa câu lệnh / Thiếu năng lực hệ thống → sửa kỹ thuật / Lúc được lúc không → viết bài đánh giá tự động)</x:t>
  </x:si>
  <x:si>
    <x:t xml:space="preserve">4.4</x:t>
  </x:si>
  <x:si>
    <x:t xml:space="preserve">Tiêu chí: nhãn ý định là đúng 1 trong 4 nhãn cho phép. Bộ chấm?  (chọn: Mã lệnh / Giám khảo AI / Người quyết)</x:t>
  </x:si>
  <x:si>
    <x:t xml:space="preserve">40</x:t>
  </x:si>
  <x:si>
    <x:t xml:space="preserve">4.5</x:t>
  </x:si>
  <x:si>
    <x:t xml:space="preserve">Tiêu chí: mã đơn trong câu trả lời trùng mã khách đưa (không bịa mã). Bộ chấm?  (chọn: Mã lệnh / Giám khảo AI / Người quyết)</x:t>
  </x:si>
  <x:si>
    <x:t xml:space="preserve">46</x:t>
  </x:si>
  <x:si>
    <x:t xml:space="preserve">4.6</x:t>
  </x:si>
  <x:si>
    <x:t xml:space="preserve">Tiêu chí: có gọi tra_cuu_don trước khi xác nhận đổi trả. Bộ chấm?  (chọn: Mã lệnh / Giám khảo AI / Người quyết)</x:t>
  </x:si>
  <x:si>
    <x:t xml:space="preserve">45</x:t>
  </x:si>
  <x:si>
    <x:t xml:space="preserve">4.7</x:t>
  </x:si>
  <x:si>
    <x:t xml:space="preserve">Tiêu chí: thời gian phản hồi dưới 2 giây. Bộ chấm?  (chọn: Mã lệnh / Giám khảo AI / Người quyết)</x:t>
  </x:si>
  <x:si>
    <x:t xml:space="preserve">4.8</x:t>
  </x:si>
  <x:si>
    <x:t xml:space="preserve">Tiêu chí: ghi nhận cảm xúc của khách trước khi xử lý. Bộ chấm?  (chọn: Mã lệnh / Giám khảo AI / Người quyết)</x:t>
  </x:si>
  <x:si>
    <x:t xml:space="preserve">4.9</x:t>
  </x:si>
  <x:si>
    <x:t xml:space="preserve">Tiêu chí: đề xuất mức đền bù cho hàng lỗi có hợp lý với từng khách không. Bộ chấm?  (chọn: Mã lệnh / Giám khảo AI / Người quyết)</x:t>
  </x:si>
  <x:si>
    <x:t xml:space="preserve">41</x:t>
  </x:si>
  <x:si>
    <x:t xml:space="preserve">4.10</x:t>
  </x:si>
  <x:si>
    <x:t xml:space="preserve">Đầu ra: "Ý định: Đổi hàng". Mã kiểm tra trả về?  (chọn: Đạt · đúng 1 nhãn / Không đạt · không có nhãn hợp lệ / Không đạt · nhiều hơn 1 nhãn)</x:t>
  </x:si>
  <x:si>
    <x:t xml:space="preserve">44</x:t>
  </x:si>
  <x:si>
    <x:t xml:space="preserve">4.11</x:t>
  </x:si>
  <x:si>
    <x:t xml:space="preserve">Đầu ra: "Ý định: đổi size". Mã kiểm tra trả về?  (chọn: Đạt · đúng 1 nhãn / Không đạt · không có nhãn hợp lệ / Không đạt · nhiều hơn 1 nhãn)</x:t>
  </x:si>
  <x:si>
    <x:t xml:space="preserve">4.12</x:t>
  </x:si>
  <x:si>
    <x:t xml:space="preserve">Đầu ra: "Ý định: Đổi hàng; Trả hàng". Mã kiểm tra trả về?  (chọn: Đạt · đúng 1 nhãn / Không đạt · không có nhãn hợp lệ / Không đạt · nhiều hơn 1 nhãn)</x:t>
  </x:si>
  <x:si>
    <x:t xml:space="preserve">4.13</x:t>
  </x:si>
  <x:si>
    <x:t xml:space="preserve">Một bài đánh giá mới chạy ra tỷ lệ đạt 0% trên cả 50 tin. Việc đầu tiên nên làm?</x:t>
  </x:si>
  <x:si>
    <x:t xml:space="preserve">47</x:t>
  </x:si>
  <x:si>
    <x:t xml:space="preserve">4.14</x:t>
  </x:si>
  <x:si>
    <x:t xml:space="preserve">Đọc bảng v1.3 / v1.4. Kết luận nào đúng?  (chọn: Phát hành / Lặp tiếp / Quay về bản cũ)</x:t>
  </x:si>
  <x:si>
    <x:t xml:space="preserve">50</x:t>
  </x:si>
  <x:si>
    <x:t xml:space="preserve">4.15</x:t>
  </x:si>
  <x:si>
    <x:t xml:space="preserve">Khi Lặp tiếp, đòn nào làm trước?  (chọn: Sửa câu lệnh / Đổi mô hình / Đổi kiến trúc)</x:t>
  </x:si>
  <x:si>
    <x:t xml:space="preserve">/ 15 câu</x:t>
  </x:si>
  <x:si>
    <x:t xml:space="preserve">Bài 5 · Hiệu chỉnh giám khảo AI (10 phút) · sau Phần 06 · trang 51–59</x:t>
  </x:si>
  <x:si>
    <x:t xml:space="preserve">Tiêu chí: "Đạt = ghi nhận cảm xúc của khách TRƯỚC khi xử lý. Nhắc lại sự việc chưa phải là ghi nhận cảm xúc."</x:t>
  </x:si>
  <x:si>
    <x:t xml:space="preserve">Chị Ngân (chuyên gia) và giám khảo AI cùng chấm 12 tin. Đ = Đạt, K = Không đạt. Ngưỡng đủ tin chốt trước: TPR và TNR đều từ 85% trở lên.</x:t>
  </x:si>
  <x:si>
    <x:t xml:space="preserve">TPR = số tin cả hai cùng Đạt ÷ số tin chuyên gia chấm Đạt. TNR = số tin cả hai cùng Không đạt ÷ số tin chuyên gia chấm Không đạt (trang 53).</x:t>
  </x:si>
  <x:si>
    <x:t xml:space="preserve">Tin</x:t>
  </x:si>
  <x:si>
    <x:t xml:space="preserve">Chuyên gia (chị Ngân)</x:t>
  </x:si>
  <x:si>
    <x:t xml:space="preserve">Giám khảo AI</x:t>
  </x:si>
  <x:si>
    <x:t xml:space="preserve">Đ</x:t>
  </x:si>
  <x:si>
    <x:t xml:space="preserve">K</x:t>
  </x:si>
  <x:si>
    <x:t xml:space="preserve">Câu 5.10: A. Đạt ngưỡng, đưa giám khảo vào dùng.  ·  B. Chưa đạt vì TNR thấp: siết định nghĩa Không đạt, thêm 3–4 ví dụ trượt sát ranh, chấm lại.  ·  C. Chưa đạt vì TPR thấp: thêm ví dụ Đạt sát ranh.</x:t>
  </x:si>
  <x:si>
    <x:t xml:space="preserve">5.1</x:t>
  </x:si>
  <x:si>
    <x:t xml:space="preserve">Chuyên gia chấm Đạt bao nhiêu tin?</x:t>
  </x:si>
  <x:si>
    <x:t xml:space="preserve">53</x:t>
  </x:si>
  <x:si>
    <x:t xml:space="preserve">5.2</x:t>
  </x:si>
  <x:si>
    <x:t xml:space="preserve">Giám khảo chấm Đạt bao nhiêu tin?</x:t>
  </x:si>
  <x:si>
    <x:t xml:space="preserve">5.3</x:t>
  </x:si>
  <x:si>
    <x:t xml:space="preserve">Số tin hai bên khớp nhau?</x:t>
  </x:si>
  <x:si>
    <x:t xml:space="preserve">5.4</x:t>
  </x:si>
  <x:si>
    <x:t xml:space="preserve">Ô "cả hai Đạt" (nhận đúng ca đạt) có bao nhiêu tin?</x:t>
  </x:si>
  <x:si>
    <x:t xml:space="preserve">5.5</x:t>
  </x:si>
  <x:si>
    <x:t xml:space="preserve">Ô "giám khảo Đạt, chuyên gia Không đạt" (cho qua lỗi) có bao nhiêu tin?</x:t>
  </x:si>
  <x:si>
    <x:t xml:space="preserve">5.6</x:t>
  </x:si>
  <x:si>
    <x:t xml:space="preserve">Ô "giám khảo Không đạt, chuyên gia Đạt" (chặn nhầm) có bao nhiêu tin?</x:t>
  </x:si>
  <x:si>
    <x:t xml:space="preserve">5.7</x:t>
  </x:si>
  <x:si>
    <x:t xml:space="preserve">Ô "cả hai Không đạt" (bắt đúng ca trượt) có bao nhiêu tin?</x:t>
  </x:si>
  <x:si>
    <x:t xml:space="preserve">5.8</x:t>
  </x:si>
  <x:si>
    <x:t xml:space="preserve">TPR là bao nhiêu? (gõ kèm %, 1 chữ số thập phân)</x:t>
  </x:si>
  <x:si>
    <x:t xml:space="preserve">5.9</x:t>
  </x:si>
  <x:si>
    <x:t xml:space="preserve">TNR là bao nhiêu? (gõ kèm %)</x:t>
  </x:si>
  <x:si>
    <x:t xml:space="preserve">5.10</x:t>
  </x:si>
  <x:si>
    <x:t xml:space="preserve">Với ngưỡng 85%, kết luận nào đúng?</x:t>
  </x:si>
  <x:si>
    <x:t xml:space="preserve">56</x:t>
  </x:si>
  <x:si>
    <x:t xml:space="preserve">5.11</x:t>
  </x:si>
  <x:si>
    <x:t xml:space="preserve">Ô nào nguy hiểm nhất?  (chọn: Cho qua lỗi / Chặn nhầm)</x:t>
  </x:si>
  <x:si>
    <x:t xml:space="preserve">5.12</x:t>
  </x:si>
  <x:si>
    <x:t xml:space="preserve">Nâng cao. Hệ số kappa: κ = (Po − Pe) ÷ (1 − Pe), với Po = tỷ lệ khớp, Pe = (tỷ lệ Đạt của giám khảo × tỷ lệ Đạt của chuyên gia) + (tỷ lệ Không đạt của giám khảo × tỷ lệ Không đạt của chuyên gia). κ bằng bao nhiêu? (2 chữ số thập phân)</x:t>
  </x:si>
  <x:si>
    <x:t xml:space="preserve">55</x:t>
  </x:si>
  <x:si>
    <x:t xml:space="preserve">5.13</x:t>
  </x:si>
  <x:si>
    <x:t xml:space="preserve">Sau 3 vòng: tập hiệu chỉnh TPR 90%, TNR 89%; tập kiểm tra giữ riêng TPR 88%, TNR 85%. Chênh lớn nhất giữa hai tập là bao nhiêu điểm?</x:t>
  </x:si>
  <x:si>
    <x:t xml:space="preserve">5.14</x:t>
  </x:si>
  <x:si>
    <x:t xml:space="preserve">Với kết quả câu 5.13, giám khảo đã hiệu chỉnh xong (chênh ≤ 5 điểm, cả hai ≥ 85%) chưa?  (chọn: Có / Không)</x:t>
  </x:si>
  <x:si>
    <x:t xml:space="preserve">5.15</x:t>
  </x:si>
  <x:si>
    <x:t xml:space="preserve">"Giám khảo cùng họ mô hình với trợ lý sẽ chấm công bằng hơn vì hiểu cách nó trả lời."  (chọn: Đúng / Sai)</x:t>
  </x:si>
  <x:si>
    <x:t xml:space="preserve">5.16</x:t>
  </x:si>
  <x:si>
    <x:t xml:space="preserve">"Cho giám khảo chấm thang 1–10 để kết quả chi tiết hơn."  (chọn: Đúng / Sai)</x:t>
  </x:si>
  <x:si>
    <x:t xml:space="preserve">52</x:t>
  </x:si>
  <x:si>
    <x:t xml:space="preserve">5.17</x:t>
  </x:si>
  <x:si>
    <x:t xml:space="preserve">"Dùng 3 giám khảo thì lấy kết luận theo đa số phiếu."  (chọn: Đúng / Sai)</x:t>
  </x:si>
  <x:si>
    <x:t xml:space="preserve">5.18</x:t>
  </x:si>
  <x:si>
    <x:t xml:space="preserve">"Khi chính các chuyên gia chấm lệch nhau nhiều, phải sửa tiêu chí trước khi nghĩ đến tự động hóa."  (chọn: Đúng / Sai)</x:t>
  </x:si>
  <x:si>
    <x:t xml:space="preserve">58</x:t>
  </x:si>
  <x:si>
    <x:t xml:space="preserve">/ 18 câu</x:t>
  </x:si>
  <x:si>
    <x:t xml:space="preserve">Xưởng · Bộ đánh giá cho trợ lý đổi trả Mộc (50 phút, làm theo nhóm, có chấm điểm)</x:t>
  </x:si>
  <x:si>
    <x:t xml:space="preserve">Thứ tự: X1 → X7. Làm trong phòng nhóm 12:10–12:53 (43 phút, thời gian gợi ý ở mỗi phần); 12:53–12:56 soát và nộp. Hết giờ phần nào thì để nguyên, làm phần sau. Ô "Kiểm tra" chỉ soát những chỗ có đáp án duy nhất; phần viết tự do giảng viên chấm theo trang "Thang điểm".</x:t>
  </x:si>
  <x:si>
    <x:t xml:space="preserve">Tên nhóm và thành viên:</x:t>
  </x:si>
  <x:si>
    <x:t xml:space="preserve">X1 · Đơn vị công việc AI (4 phút · 1 điểm)</x:t>
  </x:si>
  <x:si>
    <x:t xml:space="preserve">Viết 1 câu: Đọc [đầu vào] → [đầu ra kiểm được], [ràng buộc]. Khác với câu 1.8 của Bài 1: chọn việc SOẠN CÂU TRẢ LỜI đổi trả, không phải việc gắn nhãn.</x:t>
  </x:si>
  <x:si>
    <x:t xml:space="preserve">Câu của nhóm</x:t>
  </x:si>
  <x:si>
    <x:t xml:space="preserve">X2 · Chiều và phễu (6 phút · 1 điểm)</x:t>
  </x:si>
  <x:si>
    <x:t xml:space="preserve">Chọn 3 chiều qua phép thử (ghi rõ hành vi đúng đổi thế nào), số giá trị mỗi chiều, số tổ hợp phi lý loại đi, số tình huống chọn, số cách diễn đạt. File tự tính số đầu vào.</x:t>
  </x:si>
  <x:si>
    <x:t xml:space="preserve">#</x:t>
  </x:si>
  <x:si>
    <x:t xml:space="preserve">Chiều</x:t>
  </x:si>
  <x:si>
    <x:t xml:space="preserve">Số giá trị</x:t>
  </x:si>
  <x:si>
    <x:t xml:space="preserve">Hành vi đúng đổi thế nào khi đổi giá trị (phép thử, trang 26)</x:t>
  </x:si>
  <x:si>
    <x:t xml:space="preserve">Số tổ hợp (tự tính)</x:t>
  </x:si>
  <x:si>
    <x:t xml:space="preserve">Số tổ hợp phi lý loại đi</x:t>
  </x:si>
  <x:si>
    <x:t xml:space="preserve">Còn lại (tự tính)</x:t>
  </x:si>
  <x:si>
    <x:t xml:space="preserve">Số tình huống chọn để thử</x:t>
  </x:si>
  <x:si>
    <x:t xml:space="preserve">Số cách diễn đạt mỗi tình huống</x:t>
  </x:si>
  <x:si>
    <x:t xml:space="preserve">Số đầu vào của bộ đề (tự tính)</x:t>
  </x:si>
  <x:si>
    <x:t xml:space="preserve">X3 · 8 tình huống (9 phút · 2 điểm)</x:t>
  </x:si>
  <x:si>
    <x:t xml:space="preserve">8 tình huống cho trợ lý Mộc: tin nhắn của khách, hành vi đúng mong đợi (dẫn chính sách CS-1 đến CS-6), loại tình huống. Có đủ 3 loại; ít nhất 3 tình huống thử thách.</x:t>
  </x:si>
  <x:si>
    <x:t xml:space="preserve">Tin nhắn của khách</x:t>
  </x:si>
  <x:si>
    <x:t xml:space="preserve">Hành vi đúng mong đợi (dẫn CS-1 đến CS-6)</x:t>
  </x:si>
  <x:si>
    <x:t xml:space="preserve">Loại tình huống</x:t>
  </x:si>
  <x:si>
    <x:t xml:space="preserve">Số tình huống đại diện</x:t>
  </x:si>
  <x:si>
    <x:t xml:space="preserve">Số tình huống thử thách</x:t>
  </x:si>
  <x:si>
    <x:t xml:space="preserve">Số tình huống hồi quy nghiêm trọng</x:t>
  </x:si>
  <x:si>
    <x:t xml:space="preserve">X4 · Đọc 3 vết thực thi mới (7 phút · 1,5 điểm)</x:t>
  </x:si>
  <x:si>
    <x:t xml:space="preserve">Với W1, W2, W3: bước sai đầu tiên, mã lỗi gốc, nên sửa ở đâu.</x:t>
  </x:si>
  <x:si>
    <x:t xml:space="preserve">W1</x:t>
  </x:si>
  <x:si>
    <x:t xml:space="preserve">1 · Khách: "Mình muốn đổi đơn MS-1120 sang màu đen."</x:t>
  </x:si>
  <x:si>
    <x:t xml:space="preserve">3 · Công cụ: tao_yeu_cau_doi_tra(MS-1120, đổi màu) (không gọi tra_cuu_don trước)</x:t>
  </x:si>
  <x:si>
    <x:t xml:space="preserve">4 · Trả lời: "Dạ shop đã tạo yêu cầu đổi sang màu đen cho bạn ạ."</x:t>
  </x:si>
  <x:si>
    <x:t xml:space="preserve">W2</x:t>
  </x:si>
  <x:si>
    <x:t xml:space="preserve">1 · Khách: "Đơn hôm trước á, mình không lấy nữa." (không có mã đơn)</x:t>
  </x:si>
  <x:si>
    <x:t xml:space="preserve">3 · Công cụ: tra_cuu_don(số điện thoại của khách) → 2 đơn: MS-1187, MS-1188</x:t>
  </x:si>
  <x:si>
    <x:t xml:space="preserve">4 · Công cụ: tao_yeu_cau_doi_tra(MS-1188, trả hàng)</x:t>
  </x:si>
  <x:si>
    <x:t xml:space="preserve">5 · Trả lời: "Dạ shop đã tạo yêu cầu trả đơn MS-1188 ạ."</x:t>
  </x:si>
  <x:si>
    <x:t xml:space="preserve">W3</x:t>
  </x:si>
  <x:si>
    <x:t xml:space="preserve">1 · Khách: "Mình nhắn 3 lần rồi, áo rách, cho mình nói chuyện với người thật." Mã MS-1001</x:t>
  </x:si>
  <x:si>
    <x:t xml:space="preserve">3 · Công cụ: tra_cuu_don(MS-1001) → nhận hàng 5 ngày trước</x:t>
  </x:si>
  <x:si>
    <x:t xml:space="preserve">4 · Trả lời: "Dạ bạn có thể gửi trả trong 7 ngày, shop hoàn tiền 3–5 ngày làm việc ạ." (không gọi chuyen_nhan_vien)</x:t>
  </x:si>
  <x:si>
    <x:t xml:space="preserve">Bước sai đầu tiên (số)</x:t>
  </x:si>
  <x:si>
    <x:t xml:space="preserve">Mã lỗi gốc</x:t>
  </x:si>
  <x:si>
    <x:t xml:space="preserve">Nên sửa ở đâu (1 câu)</x:t>
  </x:si>
  <x:si>
    <x:t xml:space="preserve">Kiểm tra bước</x:t>
  </x:si>
  <x:si>
    <x:t xml:space="preserve">Kiểm tra mã</x:t>
  </x:si>
  <x:si>
    <x:t xml:space="preserve">X5 · 4 tiêu chí nhị phân (9 phút · 2 điểm)</x:t>
  </x:si>
  <x:si>
    <x:t xml:space="preserve">Mỗi tiêu chí: tên, Đạt khi (điều kiện nhìn thấy được), 1 ví dụ Đạt sát ranh, 1 ví dụ Không đạt sát ranh, bộ chấm (theo căn cứ kiểm chứng), ngưỡng.</x:t>
  </x:si>
  <x:si>
    <x:t xml:space="preserve">Tên tiêu chí</x:t>
  </x:si>
  <x:si>
    <x:t xml:space="preserve">Đạt khi (điều kiện nhìn thấy được)</x:t>
  </x:si>
  <x:si>
    <x:t xml:space="preserve">Ví dụ ĐẠT sát ranh</x:t>
  </x:si>
  <x:si>
    <x:t xml:space="preserve">Ví dụ KHÔNG ĐẠT sát ranh</x:t>
  </x:si>
  <x:si>
    <x:t xml:space="preserve">Bộ chấm</x:t>
  </x:si>
  <x:si>
    <x:t xml:space="preserve">Ngưỡng</x:t>
  </x:si>
  <x:si>
    <x:t xml:space="preserve">TC1</x:t>
  </x:si>
  <x:si>
    <x:t xml:space="preserve">TC2</x:t>
  </x:si>
  <x:si>
    <x:t xml:space="preserve">TC3</x:t>
  </x:si>
  <x:si>
    <x:t xml:space="preserve">TC4</x:t>
  </x:si>
  <x:si>
    <x:t xml:space="preserve">Từ bị coi là mơ hồ: tốt, hợp lý, phù hợp, đầy đủ, chính xác, hài lòng, thân thiện. Bộ chấm chọn theo căn cứ kiểm chứng (trang 41).</x:t>
  </x:si>
  <x:si>
    <x:t xml:space="preserve">X6 · Hiệu chỉnh giám khảo (4 phút · 1 điểm)</x:t>
  </x:si>
  <x:si>
    <x:t xml:space="preserve">Tiêu chí "Không hứa vượt chính sách", 20 tin, ngưỡng 90% cho cả TPR và TNR. Đếm 4 ô, file tự tính TPR, TNR. Chọn kết luận.</x:t>
  </x:si>
  <x:si>
    <x:t xml:space="preserve">Chuyên gia</x:t>
  </x:si>
  <x:si>
    <x:t xml:space="preserve">Đếm 4 ô</x:t>
  </x:si>
  <x:si>
    <x:t xml:space="preserve">Số tin</x:t>
  </x:si>
  <x:si>
    <x:t xml:space="preserve">Cả hai Đạt</x:t>
  </x:si>
  <x:si>
    <x:t xml:space="preserve">Chuyên gia Đạt, giám khảo Không đạt (chặn nhầm)</x:t>
  </x:si>
  <x:si>
    <x:t xml:space="preserve">Chuyên gia Không đạt, giám khảo Đạt (cho qua lỗi)</x:t>
  </x:si>
  <x:si>
    <x:t xml:space="preserve">Cả hai Không đạt</x:t>
  </x:si>
  <x:si>
    <x:t xml:space="preserve">TPR = cả hai Đạt ÷ chuyên gia Đạt (tự tính)</x:t>
  </x:si>
  <x:si>
    <x:t xml:space="preserve">TNR = cả hai Không đạt ÷ chuyên gia Không đạt (tự tính)</x:t>
  </x:si>
  <x:si>
    <x:t xml:space="preserve">Ngưỡng chốt trước (tiêu chí rủi ro cao)</x:t>
  </x:si>
  <x:si>
    <x:t xml:space="preserve">Tổng 4 ô phải bằng 20</x:t>
  </x:si>
  <x:si>
    <x:t xml:space="preserve">A. Đạt cả hai ngưỡng, đưa giám khảo vào dùng.</x:t>
  </x:si>
  <x:si>
    <x:t xml:space="preserve">B. Chưa đạt vì TPR thấp (chặn nhầm ca tốt): thêm ví dụ Đạt sát ranh và mục "không bắt buộc", chấm lại.</x:t>
  </x:si>
  <x:si>
    <x:t xml:space="preserve">C. Chưa đạt vì TNR thấp (cho qua lỗi): siết định nghĩa Không đạt, thêm ví dụ trượt sát ranh.</x:t>
  </x:si>
  <x:si>
    <x:t xml:space="preserve">Kết luận (chọn A, B hoặc C)</x:t>
  </x:si>
  <x:si>
    <x:t xml:space="preserve">X7 · Kết luận có răng (4 phút · 1,5 điểm)</x:t>
  </x:si>
  <x:si>
    <x:t xml:space="preserve">Đọc báo cáo v1.3 / v1.4, chọn Phát hành, Lặp tiếp hay Quay về; viết kế hoạch đi kèm. Trả lời 3 câu về 2 giờ chấm của chuyên gia.</x:t>
  </x:si>
  <x:si>
    <x:t xml:space="preserve">Mã lệnh</x:t>
  </x:si>
  <x:si>
    <x:t xml:space="preserve">94%</x:t>
  </x:si>
  <x:si>
    <x:t xml:space="preserve">Không bịa mã đơn</x:t>
  </x:si>
  <x:si>
    <x:t xml:space="preserve">100%</x:t>
  </x:si>
  <x:si>
    <x:t xml:space="preserve">≥ 95%</x:t>
  </x:si>
  <x:si>
    <x:t xml:space="preserve">92%</x:t>
  </x:si>
  <x:si>
    <x:t xml:space="preserve">98%</x:t>
  </x:si>
  <x:si>
    <x:t xml:space="preserve">Giám khảo AI đã hiệu chỉnh</x:t>
  </x:si>
  <x:si>
    <x:t xml:space="preserve">≥ 80%</x:t>
  </x:si>
  <x:si>
    <x:t xml:space="preserve">82%</x:t>
  </x:si>
  <x:si>
    <x:t xml:space="preserve">Chuyển nhân viên đúng lúc</x:t>
  </x:si>
  <x:si>
    <x:t xml:space="preserve">Người (chuyên gia chấm cả 50 tin)</x:t>
  </x:si>
  <x:si>
    <x:t xml:space="preserve">88%</x:t>
  </x:si>
  <x:si>
    <x:t xml:space="preserve">1,7 giây</x:t>
  </x:si>
  <x:si>
    <x:t xml:space="preserve">Bộ đề 50 tin; ngưỡng chốt trước khi chạy. Quy tắc phát hành (trang 50): mọi tiêu chí đạt ngưỡng và không tiêu chí nào tụt quá 2 điểm so với bản cũ.</x:t>
  </x:si>
  <x:si>
    <x:t xml:space="preserve">Kết luận</x:t>
  </x:si>
  <x:si>
    <x:t xml:space="preserve">Kế hoạch đi kèm</x:t>
  </x:si>
  <x:si>
    <x:t xml:space="preserve">Kế hoạch phải có: lấy mẫu bao nhiêu % tin thật để chấm tiếp, 3 tín hiệu trôi cần nhìn, ngưỡng cảnh báo bằng số, ai xem và bao lâu một lần.</x:t>
  </x:si>
  <x:si>
    <x:t xml:space="preserve">Chuyên gia bỏ 2 giờ chấm 200 ca: 150 Đạt. Giám khảo AI chấm cùng 200 ca, khớp với chuyên gia ở 168 ca (trang 64).</x:t>
  </x:si>
  <x:si>
    <x:t xml:space="preserve">Tỷ lệ đạt nền của hệ thống (gõ kèm %)</x:t>
  </x:si>
  <x:si>
    <x:t xml:space="preserve">Số ca đưa vào bộ chống tái phát</x:t>
  </x:si>
  <x:si>
    <x:t xml:space="preserve">Tỷ lệ khớp của giám khảo với chuyên gia (gõ kèm %)</x:t>
  </x:si>
  <x:si>
    <x:t xml:space="preserve">Thang điểm Xưởng (10 điểm) · trợ giảng ghi phần máy chấm, giảng viên chấm phần viết</x:t>
  </x:si>
  <x:si>
    <x:t xml:space="preserve">Chấm theo mô tả; điểm lẻ 0,25 khi bài nằm giữa hai mức. Cột "Tự kiểm tra" lấy từ trang Xưởng: chỉ để tham khảo, không thay cho việc đọc bài.</x:t>
  </x:si>
  <x:si>
    <x:t xml:space="preserve">Phần</x:t>
  </x:si>
  <x:si>
    <x:t xml:space="preserve">Tối đa</x:t>
  </x:si>
  <x:si>
    <x:t xml:space="preserve">Đủ điểm</x:t>
  </x:si>
  <x:si>
    <x:t xml:space="preserve">Một nửa</x:t>
  </x:si>
  <x:si>
    <x:t xml:space="preserve">Không điểm</x:t>
  </x:si>
  <x:si>
    <x:t xml:space="preserve">Điểm chấm</x:t>
  </x:si>
  <x:si>
    <x:t xml:space="preserve">X1</x:t>
  </x:si>
  <x:si>
    <x:t xml:space="preserve">Có đủ đầu vào, đầu ra kiểm được và ràng buộc bằng số; nói rõ ca nào chuyển người</x:t>
  </x:si>
  <x:si>
    <x:t xml:space="preserve">Có câu nhưng thiếu ràng buộc hoặc đầu ra không kiểm được</x:t>
  </x:si>
  <x:si>
    <x:t xml:space="preserve">Mục tiêu chung chung ("trả lời tốt hơn")</x:t>
  </x:si>
  <x:si>
    <x:t xml:space="preserve">X2</x:t>
  </x:si>
  <x:si>
    <x:t xml:space="preserve">3 chiều đều qua phép thử, ghi rõ hành vi đổi thế nào; số đầu vào 40–50</x:t>
  </x:si>
  <x:si>
    <x:t xml:space="preserve">2 chiều qua phép thử hoặc số đầu vào ngoài khoảng</x:t>
  </x:si>
  <x:si>
    <x:t xml:space="preserve">Chọn thuộc tính chỉ là cách diễn đạt (lịch sự, độ dài)</x:t>
  </x:si>
  <x:si>
    <x:t xml:space="preserve">X3</x:t>
  </x:si>
  <x:si>
    <x:t xml:space="preserve">8 tình huống, đủ 3 loại, ≥ 3 thử thách; hành vi đúng cụ thể, dẫn chính sách</x:t>
  </x:si>
  <x:si>
    <x:t xml:space="preserve">Thiếu 1 loại hoặc hành vi đúng còn chung chung</x:t>
  </x:si>
  <x:si>
    <x:t xml:space="preserve">Ít hơn 6 tình huống hoặc toàn tình huống dễ</x:t>
  </x:si>
  <x:si>
    <x:t xml:space="preserve">X4</x:t>
  </x:si>
  <x:si>
    <x:t xml:space="preserve">Đúng bước và đúng mã lỗi gốc ở cả 3 vết (0,25 điểm mỗi ô đúng)</x:t>
  </x:si>
  <x:si>
    <x:t xml:space="preserve">Đúng một trong hai ô (bước hoặc mã) ở mỗi vết</x:t>
  </x:si>
  <x:si>
    <x:t xml:space="preserve">Sai cả bước và mã; cột “Nên sửa ở đâu” chỉ để nhận xét, không tính điểm</x:t>
  </x:si>
  <x:si>
    <x:t xml:space="preserve">X5</x:t>
  </x:si>
  <x:si>
    <x:t xml:space="preserve">4 tiêu chí nhị phân, có ví dụ sát ranh hai phía, bộ chấm đúng căn cứ kiểm chứng, có ngưỡng (0,5 mỗi tiêu chí)</x:t>
  </x:si>
  <x:si>
    <x:t xml:space="preserve">Thiếu ví dụ sát ranh hoặc thiếu ngưỡng</x:t>
  </x:si>
  <x:si>
    <x:t xml:space="preserve">Dùng từ mơ hồ ("phù hợp", "hợp lý") hoặc thang điểm</x:t>
  </x:si>
  <x:si>
    <x:t xml:space="preserve">X6</x:t>
  </x:si>
  <x:si>
    <x:t xml:space="preserve">Đếm đúng 4 ô, TPR và TNR đúng, chọn đúng kết luận B</x:t>
  </x:si>
  <x:si>
    <x:t xml:space="preserve">Số đúng nhưng kết luận sai</x:t>
  </x:si>
  <x:si>
    <x:t xml:space="preserve">Đếm sai ô</x:t>
  </x:si>
  <x:si>
    <x:t xml:space="preserve">X7</x:t>
  </x:si>
  <x:si>
    <x:t xml:space="preserve">Chọn Phát hành, kế hoạch có mẫu %, 3 tín hiệu, ngưỡng cảnh báo bằng số; trả lời đúng 3 câu số liệu</x:t>
  </x:si>
  <x:si>
    <x:t xml:space="preserve">Đúng kết luận, kế hoạch thiếu số</x:t>
  </x:si>
  <x:si>
    <x:t xml:space="preserve">Chọn Lặp tiếp vì Ghi nhận cảm xúc giảm 2 điểm (đó là nhiễu)</x:t>
  </x:si>
  <x:si>
    <x:t xml:space="preserve">Tổng hợp kết quả tự kiểm tra</x:t>
  </x:si>
  <x:si>
    <x:t xml:space="preserve">Bài</x:t>
  </x:si>
  <x:si>
    <x:t xml:space="preserve">Tổng số câu</x:t>
  </x:si>
  <x:si>
    <x:t xml:space="preserve">Xưởng · các ô tự kiểm tra</x:t>
  </x:si>
  <x:si>
    <x:t xml:space="preserve">Đơn vị công việc AI</x:t>
  </x:si>
  <x:si>
    <x:t xml:space="preserve">Chiều và phễu</x:t>
  </x:si>
  <x:si>
    <x:t xml:space="preserve">8 tình huống</x:t>
  </x:si>
  <x:si>
    <x:t xml:space="preserve">Đọc 3 vết thực thi mới</x:t>
  </x:si>
  <x:si>
    <x:t xml:space="preserve">/ 6 ô</x:t>
  </x:si>
  <x:si>
    <x:t xml:space="preserve">4 tiêu chí nhị phân</x:t>
  </x:si>
  <x:si>
    <x:t xml:space="preserve">Hiệu chỉnh giám khảo</x:t>
  </x:si>
  <x:si>
    <x:t xml:space="preserve">/ 5 ô</x:t>
  </x:si>
  <x:si>
    <x:t xml:space="preserve">Kết luận có răng</x:t>
  </x:si>
  <x:si>
    <x:t xml:space="preserve">/ 4 ô</x:t>
  </x:si>
  <x:si>
    <x:t xml:space="preserve">Có</x:t>
  </x:si>
  <x:si>
    <x:t xml:space="preserve">A</x:t>
  </x:si>
  <x:si>
    <x:t xml:space="preserve">Khoảng 100 ca</x:t>
  </x:si>
  <x:si>
    <x:t xml:space="preserve">Trục 1</x:t>
  </x:si>
  <x:si>
    <x:t xml:space="preserve">Đại diện</x:t>
  </x:si>
  <x:si>
    <x:t xml:space="preserve">Thiếu đặc tả → sửa câu lệnh</x:t>
  </x:si>
  <x:si>
    <x:t xml:space="preserve">Đạt · đúng 1 nhãn</x:t>
  </x:si>
  <x:si>
    <x:t xml:space="preserve">Phát hành</x:t>
  </x:si>
  <x:si>
    <x:t xml:space="preserve">Sửa câu lệnh</x:t>
  </x:si>
  <x:si>
    <x:t xml:space="preserve">Cho qua lỗi</x:t>
  </x:si>
  <x:si>
    <x:t xml:space="preserve">Đúng</x:t>
  </x:si>
  <x:si>
    <x:t xml:space="preserve">Không</x:t>
  </x:si>
  <x:si>
    <x:t xml:space="preserve">B</x:t>
  </x:si>
  <x:si>
    <x:t xml:space="preserve">Khoảng 1.000 ca</x:t>
  </x:si>
  <x:si>
    <x:t xml:space="preserve">Trục 2</x:t>
  </x:si>
  <x:si>
    <x:t xml:space="preserve">Thử thách</x:t>
  </x:si>
  <x:si>
    <x:t xml:space="preserve">Thiếu năng lực hệ thống → sửa kỹ thuật</x:t>
  </x:si>
  <x:si>
    <x:t xml:space="preserve">Không đạt · không có nhãn hợp lệ</x:t>
  </x:si>
  <x:si>
    <x:t xml:space="preserve">Lặp tiếp</x:t>
  </x:si>
  <x:si>
    <x:t xml:space="preserve">Đổi mô hình</x:t>
  </x:si>
  <x:si>
    <x:t xml:space="preserve">Chặn nhầm</x:t>
  </x:si>
  <x:si>
    <x:t xml:space="preserve">Sai</x:t>
  </x:si>
  <x:si>
    <x:t xml:space="preserve">C</x:t>
  </x:si>
  <x:si>
    <x:t xml:space="preserve">Khoảng 10.000 ca</x:t>
  </x:si>
  <x:si>
    <x:t xml:space="preserve">Trục 3</x:t>
  </x:si>
  <x:si>
    <x:t xml:space="preserve">Hồi quy nghiêm trọng</x:t>
  </x:si>
  <x:si>
    <x:t xml:space="preserve">Lúc được lúc không → viết bài đánh giá tự động</x:t>
  </x:si>
  <x:si>
    <x:t xml:space="preserve">Người quyết</x:t>
  </x:si>
  <x:si>
    <x:t xml:space="preserve">Không đạt · nhiều hơn 1 nhãn</x:t>
  </x:si>
  <x:si>
    <x:t xml:space="preserve">Quay về bản cũ</x:t>
  </x:si>
  <x:si>
    <x:t xml:space="preserve">Đổi kiến trúc</x:t>
  </x:si>
  <x:si>
    <x:t xml:space="preserve">Mã lệnh (lời gọi công cụ) + người kiểm mẫu 10%</x:t>
  </x:si>
</x:sst>
</file>

<file path=xl/styles.xml><?xml version="1.0" encoding="utf-8"?>
<x:styleSheet xmlns:x="http://schemas.openxmlformats.org/spreadsheetml/2006/main">
  <x:numFmts count="8">
    <x:numFmt numFmtId="164" formatCode="General"/>
    <x:numFmt numFmtId="165" formatCode="0"/>
    <x:numFmt numFmtId="166" formatCode="General"/>
    <x:numFmt numFmtId="167" formatCode="0%"/>
    <x:numFmt numFmtId="168" formatCode="#,##0;[RED]\-#,##0"/>
    <x:numFmt numFmtId="169" formatCode="0.0%"/>
    <x:numFmt numFmtId="170" formatCode="0.00"/>
    <x:numFmt numFmtId="171" formatCode="0.0"/>
  </x:numFmts>
  <x:fonts count="11">
    <x:font>
      <x:sz val="11"/>
      <x:color theme="1"/>
      <x:name val="Calibri"/>
      <x:family val="2"/>
    </x:font>
    <x:font>
      <x:sz val="10"/>
      <x:name val="Arial"/>
    </x:font>
    <x:font>
      <x:sz val="10"/>
      <x:name val="Arial"/>
    </x:font>
    <x:font>
      <x:sz val="10"/>
      <x:name val="Arial"/>
    </x:font>
    <x:font>
      <x:b/>
      <x:sz val="14"/>
      <x:name val="Cambria"/>
    </x:font>
    <x:font>
      <x:i/>
      <x:sz val="11"/>
      <x:color rgb="FF595959"/>
      <x:name val="Cambria"/>
    </x:font>
    <x:font>
      <x:b/>
      <x:sz val="11"/>
      <x:name val="Calibri"/>
    </x:font>
    <x:font>
      <x:sz val="11"/>
      <x:name val="Calibri"/>
    </x:font>
    <x:font>
      <x:b/>
      <x:sz val="11"/>
      <x:name val="Cambria"/>
    </x:font>
    <x:font>
      <x:b/>
      <x:sz val="11"/>
      <x:color rgb="FFFFFFFF"/>
      <x:name val="Cambria"/>
    </x:font>
    <x:font>
      <x:i/>
      <x:sz val="10"/>
      <x:color rgb="FF595959"/>
      <x:name val="Calibri"/>
    </x:font>
  </x:fonts>
  <x:fills count="5">
    <x:fill>
      <x:patternFill patternType="none"/>
    </x:fill>
    <x:fill>
      <x:patternFill patternType="gray125"/>
    </x:fill>
    <x:fill>
      <x:patternFill patternType="solid">
        <x:fgColor rgb="FF1F3864"/>
      </x:patternFill>
    </x:fill>
    <x:fill>
      <x:patternFill patternType="solid">
        <x:fgColor rgb="FFFFF2CC"/>
      </x:patternFill>
    </x:fill>
    <x:fill>
      <x:patternFill patternType="solid">
        <x:fgColor rgb="FFE2EFDA"/>
      </x:patternFill>
    </x:fill>
  </x:fills>
  <x:borders count="2">
    <x:border diagonalUp="0" diagonalDown="0">
      <x:left/>
      <x:right/>
      <x:top/>
      <x:bottom/>
      <x:diagonal/>
    </x:border>
    <x:border diagonalUp="0" diagonalDown="0">
      <x:left style="thin">
        <x:color rgb="FFBFBFBF"/>
      </x:left>
      <x:right style="thin">
        <x:color rgb="FFBFBFBF"/>
      </x:right>
      <x:top style="thin">
        <x:color rgb="FFBFBFBF"/>
      </x:top>
      <x:bottom style="thin">
        <x:color rgb="FFBFBFBF"/>
      </x:bottom>
      <x:diagonal/>
    </x:border>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26">
    <x:xf numFmtId="164" fontId="0" fillId="0" borderId="0" xfId="0" applyFont="0" applyBorder="0" applyAlignment="0" applyProtection="0">
      <x:alignment horizontal="general" vertical="bottom" wrapText="0" shrinkToFit="0"/>
      <x:protection locked="1" hidden="0"/>
    </x:xf>
    <x:xf numFmtId="164" fontId="4" fillId="0" borderId="0" xfId="0" applyFont="1" applyBorder="0" applyAlignment="1" applyProtection="0">
      <x:alignment horizontal="general" vertical="top" wrapText="0" shrinkToFit="0"/>
      <x:protection locked="1" hidden="0"/>
    </x:xf>
    <x:xf numFmtId="164" fontId="5" fillId="0" borderId="0" xfId="0" applyFont="1" applyBorder="1" applyAlignment="1" applyProtection="0">
      <x:alignment horizontal="general" vertical="top" wrapText="1" shrinkToFit="0"/>
      <x:protection locked="1" hidden="0"/>
    </x:xf>
    <x:xf numFmtId="164" fontId="6" fillId="0" borderId="0" xfId="0" applyFont="1" applyBorder="1" applyAlignment="1" applyProtection="0">
      <x:alignment horizontal="general" vertical="top" wrapText="1" shrinkToFit="0"/>
      <x:protection locked="1" hidden="0"/>
    </x:xf>
    <x:xf numFmtId="164" fontId="7" fillId="0" borderId="0" xfId="0" applyFont="1" applyBorder="1" applyAlignment="1" applyProtection="0">
      <x:alignment horizontal="general" vertical="top" wrapText="1" shrinkToFit="0"/>
      <x:protection locked="1" hidden="0"/>
    </x:xf>
    <x:xf numFmtId="164" fontId="8" fillId="0" borderId="0" xfId="0" applyFont="1" applyBorder="0" applyAlignment="1" applyProtection="0">
      <x:alignment horizontal="general" vertical="top" wrapText="0" shrinkToFit="0"/>
      <x:protection locked="1" hidden="0"/>
    </x:xf>
    <x:xf numFmtId="164" fontId="9" fillId="2" borderId="1" xfId="0" applyFont="1" applyBorder="1" applyAlignment="1" applyProtection="0">
      <x:alignment horizontal="general" vertical="top" wrapText="1" shrinkToFit="0"/>
      <x:protection locked="1" hidden="0"/>
    </x:xf>
    <x:xf numFmtId="164" fontId="7" fillId="0" borderId="1" xfId="0" applyFont="1" applyBorder="1" applyAlignment="1" applyProtection="0">
      <x:alignment horizontal="general" vertical="top" wrapText="1" shrinkToFit="0"/>
      <x:protection locked="1" hidden="0"/>
    </x:xf>
    <x:xf numFmtId="164" fontId="6" fillId="0" borderId="1" xfId="0" applyFont="1" applyBorder="1" applyAlignment="1" applyProtection="0">
      <x:alignment horizontal="general" vertical="top" wrapText="1" shrinkToFit="0"/>
      <x:protection locked="1" hidden="0"/>
    </x:xf>
    <x:xf numFmtId="164" fontId="10" fillId="0" borderId="0" xfId="0" applyFont="1" applyBorder="1" applyAlignment="1" applyProtection="0">
      <x:alignment horizontal="general" vertical="top" wrapText="1" shrinkToFit="0"/>
      <x:protection locked="1" hidden="0"/>
    </x:xf>
    <x:xf numFmtId="165" fontId="7" fillId="3" borderId="1" xfId="0" applyFont="1" applyBorder="1" applyAlignment="1" applyProtection="1">
      <x:alignment horizontal="general" vertical="top" wrapText="1" shrinkToFit="0"/>
      <x:protection locked="0" hidden="0"/>
    </x:xf>
    <x:xf numFmtId="166" fontId="7" fillId="4" borderId="1" xfId="0" applyFont="1" applyBorder="1" applyAlignment="1" applyProtection="1">
      <x:alignment horizontal="general" vertical="top" wrapText="1" shrinkToFit="0"/>
      <x:protection locked="1" hidden="1"/>
    </x:xf>
    <x:xf numFmtId="167" fontId="7" fillId="3" borderId="1" xfId="0" applyFont="1" applyBorder="1" applyAlignment="1" applyProtection="1">
      <x:alignment horizontal="general" vertical="top" wrapText="1" shrinkToFit="0"/>
      <x:protection locked="0" hidden="0"/>
    </x:xf>
    <x:xf numFmtId="168" fontId="7" fillId="3" borderId="1" xfId="0" applyFont="1" applyBorder="1" applyAlignment="1" applyProtection="1">
      <x:alignment horizontal="general" vertical="top" wrapText="1" shrinkToFit="0"/>
      <x:protection locked="0" hidden="0"/>
    </x:xf>
    <x:xf numFmtId="165" fontId="6" fillId="4" borderId="1" xfId="0" applyFont="1" applyBorder="1" applyAlignment="1" applyProtection="0">
      <x:alignment horizontal="general" vertical="top" wrapText="1" shrinkToFit="0"/>
      <x:protection locked="1" hidden="0"/>
    </x:xf>
    <x:xf numFmtId="169" fontId="7" fillId="3" borderId="1" xfId="0" applyFont="1" applyBorder="1" applyAlignment="1" applyProtection="1">
      <x:alignment horizontal="general" vertical="top" wrapText="1" shrinkToFit="0"/>
      <x:protection locked="0" hidden="0"/>
    </x:xf>
    <x:xf numFmtId="170" fontId="7" fillId="3" borderId="1" xfId="0" applyFont="1" applyBorder="1" applyAlignment="1" applyProtection="1">
      <x:alignment horizontal="general" vertical="top" wrapText="1" shrinkToFit="0"/>
      <x:protection locked="0" hidden="0"/>
    </x:xf>
    <x:xf numFmtId="164" fontId="8" fillId="0" borderId="0" xfId="0" applyFont="1" applyBorder="1" applyAlignment="1" applyProtection="0">
      <x:alignment horizontal="general" vertical="top" wrapText="1" shrinkToFit="0"/>
      <x:protection locked="1" hidden="0"/>
    </x:xf>
    <x:xf numFmtId="165" fontId="7" fillId="4" borderId="1" xfId="0" applyFont="1" applyBorder="1" applyAlignment="1" applyProtection="0">
      <x:alignment horizontal="general" vertical="top" wrapText="1" shrinkToFit="0"/>
      <x:protection locked="1" hidden="0"/>
    </x:xf>
    <x:xf numFmtId="169" fontId="6" fillId="4" borderId="1" xfId="0" applyFont="1" applyBorder="1" applyAlignment="1" applyProtection="0">
      <x:alignment horizontal="general" vertical="top" wrapText="1" shrinkToFit="0"/>
      <x:protection locked="1" hidden="0"/>
    </x:xf>
    <x:xf numFmtId="167" fontId="7" fillId="0" borderId="1" xfId="0" applyFont="1" applyBorder="1" applyAlignment="1" applyProtection="0">
      <x:alignment horizontal="general" vertical="top" wrapText="1" shrinkToFit="0"/>
      <x:protection locked="1" hidden="0"/>
    </x:xf>
    <x:xf numFmtId="171" fontId="7" fillId="0" borderId="1" xfId="0" applyFont="1" applyBorder="1" applyAlignment="1" applyProtection="0">
      <x:alignment horizontal="general" vertical="top" wrapText="1" shrinkToFit="0"/>
      <x:protection locked="1" hidden="0"/>
    </x:xf>
    <x:xf numFmtId="171" fontId="6" fillId="4" borderId="1" xfId="0" applyFont="1" applyBorder="1" applyAlignment="1" applyProtection="0">
      <x:alignment horizontal="general" vertical="top" wrapText="1" shrinkToFit="0"/>
      <x:protection locked="1" hidden="0"/>
    </x:xf>
    <x:xf numFmtId="170" fontId="6" fillId="4" borderId="1" xfId="0" applyFont="1" applyBorder="1" applyAlignment="1" applyProtection="0">
      <x:alignment horizontal="general" vertical="top" wrapText="1" shrinkToFit="0"/>
      <x:protection locked="1" hidden="0"/>
    </x:xf>
    <x:xf numFmtId="165" fontId="7" fillId="0" borderId="1" xfId="0" applyFont="1" applyBorder="1" applyAlignment="1" applyProtection="0">
      <x:alignment horizontal="general" vertical="top" wrapText="1" shrinkToFit="0"/>
      <x:protection locked="1" hidden="0"/>
    </x:xf>
    <x:xf numFmtId="166" fontId="7" fillId="4" borderId="1" xfId="0" applyFont="1" applyBorder="1" applyAlignment="1" applyProtection="0">
      <x:alignment horizontal="general" vertical="top" wrapText="1" shrinkToFit="0"/>
      <x:protection locked="1" hidden="0"/>
    </x:xf>
  </x:cellXfs>
  <x:cellStyles count="6">
    <x:cellStyle name="Normal" xfId="0"/>
    <x:cellStyle name="Comma" xfId="15"/>
    <x:cellStyle name="Comma [0]" xfId="16"/>
    <x:cellStyle name="Currency" xfId="17"/>
    <x:cellStyle name="Currency [0]" xfId="18"/>
    <x:cellStyle name="Percent" xfId="19"/>
  </x:cellStyle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BFBFBF"/>
      <x:rgbColor rgb="FF808080"/>
      <x:rgbColor rgb="FF9999FF"/>
      <x:rgbColor rgb="FF993366"/>
      <x:rgbColor rgb="FFFFF2CC"/>
      <x:rgbColor rgb="FFCCFFFF"/>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E2EFDA"/>
      <x:rgbColor rgb="FFFFFF99"/>
      <x:rgbColor rgb="FF99CCFF"/>
      <x:rgbColor rgb="FFFF99CC"/>
      <x:rgbColor rgb="FFCC99FF"/>
      <x:rgbColor rgb="FFFFCC99"/>
      <x:rgbColor rgb="FF3366FF"/>
      <x:rgbColor rgb="FF33CCCC"/>
      <x:rgbColor rgb="FF99CC00"/>
      <x:rgbColor rgb="FFFFCC00"/>
      <x:rgbColor rgb="FFFF9900"/>
      <x:rgbColor rgb="FFFF6600"/>
      <x:rgbColor rgb="FF595959"/>
      <x:rgbColor rgb="FF969696"/>
      <x:rgbColor rgb="FF1F3864"/>
      <x:rgbColor rgb="FF339966"/>
      <x:rgbColor rgb="FF003300"/>
      <x:rgbColor rgb="FF333300"/>
      <x:rgbColor rgb="FF993300"/>
      <x:rgbColor rgb="FF993366"/>
      <x:rgbColor rgb="FF333399"/>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554070d2057467b" /><Relationship Type="http://schemas.openxmlformats.org/officeDocument/2006/relationships/theme" Target="/xl/theme/theme1.xml" Id="Rd3fc6a34d1564c8e" /><Relationship Type="http://schemas.openxmlformats.org/officeDocument/2006/relationships/sharedStrings" Target="/xl/sharedStrings.xml" Id="R0f2661115acd4441" /><Relationship Type="http://schemas.openxmlformats.org/officeDocument/2006/relationships/worksheet" Target="/xl/worksheets/sheet1.xml" Id="R8713adacecce4774" /><Relationship Type="http://schemas.openxmlformats.org/officeDocument/2006/relationships/worksheet" Target="/xl/worksheets/sheet2.xml" Id="R511f8f00527645a2" /><Relationship Type="http://schemas.openxmlformats.org/officeDocument/2006/relationships/worksheet" Target="/xl/worksheets/sheet3.xml" Id="R442809d648664c1d" /><Relationship Type="http://schemas.openxmlformats.org/officeDocument/2006/relationships/worksheet" Target="/xl/worksheets/sheet4.xml" Id="R9dc99f0f3c19446a" /><Relationship Type="http://schemas.openxmlformats.org/officeDocument/2006/relationships/worksheet" Target="/xl/worksheets/sheet5.xml" Id="R5a83df0d99314db4" /><Relationship Type="http://schemas.openxmlformats.org/officeDocument/2006/relationships/worksheet" Target="/xl/worksheets/sheet6.xml" Id="R4d43369e9d784b02" /><Relationship Type="http://schemas.openxmlformats.org/officeDocument/2006/relationships/worksheet" Target="/xl/worksheets/sheet7.xml" Id="Rdfc81268869c4a9b" /><Relationship Type="http://schemas.openxmlformats.org/officeDocument/2006/relationships/worksheet" Target="/xl/worksheets/sheet8.xml" Id="R57c0dc0769604b81" /><Relationship Type="http://schemas.openxmlformats.org/officeDocument/2006/relationships/worksheet" Target="/xl/worksheets/sheet9.xml" Id="Re3dc3f900c9f4a1c" /><Relationship Type="http://schemas.openxmlformats.org/officeDocument/2006/relationships/worksheet" Target="/xl/worksheets/sheet10.xml" Id="Re29d6f560307467e" /><Relationship Type="http://schemas.openxmlformats.org/officeDocument/2006/relationships/worksheet" Target="/xl/worksheets/sheet11.xml" Id="Ra5ff7f437f42498a"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x:worksheet xmlns:x="http://schemas.openxmlformats.org/spreadsheetml/2006/main">
  <x:sheetViews>
    <x:sheetView showGridLines="1" workbookViewId="0"/>
  </x:sheetViews>
  <x:sheetFormatPr defaultColWidth="8.6796875" defaultRowHeight="15"/>
  <x:cols>
    <x:col min="1" max="1" width="16" hidden="0" customWidth="1"/>
    <x:col min="2" max="2" width="14" hidden="0" customWidth="1"/>
    <x:col min="3" max="3" width="70" hidden="0" customWidth="1"/>
    <x:col min="4" max="4" width="12" hidden="0" customWidth="1"/>
  </x:cols>
  <x:sheetData>
    <x:row r="1" ht="17.350000381469727" hidden="0">
      <x:c r="A1" s="1" t="s">
        <x:v>0</x:v>
      </x:c>
    </x:row>
    <x:row r="2" ht="33" hidden="0" customHeight="1">
      <x:c r="A2" s="2" t="s">
        <x:v>1</x:v>
      </x:c>
      <x:c r="B2" s="2"/>
      <x:c r="C2" s="2"/>
      <x:c r="D2" s="2"/>
    </x:row>
    <x:row r="4" ht="33" hidden="0" customHeight="1">
      <x:c r="A4" s="3" t="s">
        <x:v>2</x:v>
      </x:c>
      <x:c r="B4" s="3"/>
      <x:c r="C4" s="3"/>
      <x:c r="D4" s="3"/>
    </x:row>
    <x:row r="5" ht="33" hidden="0" customHeight="1">
      <x:c r="A5" s="4" t="s">
        <x:v>3</x:v>
      </x:c>
      <x:c r="B5" s="4"/>
      <x:c r="C5" s="4"/>
      <x:c r="D5" s="4"/>
    </x:row>
    <x:row r="6" ht="33" hidden="0" customHeight="1">
      <x:c r="A6" s="4" t="s">
        <x:v>4</x:v>
      </x:c>
      <x:c r="B6" s="4"/>
      <x:c r="C6" s="4"/>
      <x:c r="D6" s="4"/>
    </x:row>
    <x:row r="7" ht="33" hidden="0" customHeight="1">
      <x:c r="A7" s="4" t="s">
        <x:v>5</x:v>
      </x:c>
      <x:c r="B7" s="4"/>
      <x:c r="C7" s="4"/>
      <x:c r="D7" s="4"/>
    </x:row>
    <x:row r="8" ht="33" hidden="0" customHeight="1">
      <x:c r="A8" s="4" t="s">
        <x:v>6</x:v>
      </x:c>
      <x:c r="B8" s="4"/>
      <x:c r="C8" s="4"/>
      <x:c r="D8" s="4"/>
    </x:row>
    <x:row r="9" ht="18" hidden="0" customHeight="1">
      <x:c r="A9" s="4" t="s">
        <x:v>7</x:v>
      </x:c>
      <x:c r="B9" s="4"/>
      <x:c r="C9" s="4"/>
      <x:c r="D9" s="4"/>
    </x:row>
    <x:row r="10" ht="18" hidden="0" customHeight="1">
      <x:c r="A10" s="4" t="s">
        <x:v>8</x:v>
      </x:c>
      <x:c r="B10" s="4"/>
      <x:c r="C10" s="4"/>
      <x:c r="D10" s="4"/>
    </x:row>
    <x:row r="12" ht="15" hidden="0">
      <x:c r="A12" s="5" t="s">
        <x:v>9</x:v>
      </x:c>
    </x:row>
    <x:row r="13" ht="18" hidden="0" customHeight="1">
      <x:c r="A13" s="6" t="s">
        <x:v>10</x:v>
      </x:c>
      <x:c r="B13" s="6" t="s">
        <x:v>11</x:v>
      </x:c>
      <x:c r="C13" s="6" t="s">
        <x:v>12</x:v>
      </x:c>
      <x:c r="D13" s="6" t="s">
        <x:v>13</x:v>
      </x:c>
    </x:row>
    <x:row r="14" ht="33" hidden="0" customHeight="1">
      <x:c r="A14" s="7" t="s">
        <x:v>14</x:v>
      </x:c>
      <x:c r="B14" s="7" t="s">
        <x:v>15</x:v>
      </x:c>
      <x:c r="C14" s="7" t="s">
        <x:v>16</x:v>
      </x:c>
      <x:c r="D14" s="7"/>
    </x:row>
    <x:row r="15" ht="18" hidden="0" customHeight="1">
      <x:c r="A15" s="7" t="s">
        <x:v>17</x:v>
      </x:c>
      <x:c r="B15" s="7" t="s">
        <x:v>18</x:v>
      </x:c>
      <x:c r="C15" s="7" t="s">
        <x:v>19</x:v>
      </x:c>
      <x:c r="D15" s="7"/>
    </x:row>
    <x:row r="16" ht="18" hidden="0" customHeight="1">
      <x:c r="A16" s="7" t="s">
        <x:v>20</x:v>
      </x:c>
      <x:c r="B16" s="7" t="s">
        <x:v>18</x:v>
      </x:c>
      <x:c r="C16" s="7" t="s">
        <x:v>21</x:v>
      </x:c>
      <x:c r="D16" s="7"/>
    </x:row>
    <x:row r="17" ht="18" hidden="0" customHeight="1">
      <x:c r="A17" s="7" t="s">
        <x:v>22</x:v>
      </x:c>
      <x:c r="B17" s="8" t="s">
        <x:v>23</x:v>
      </x:c>
      <x:c r="C17" s="7" t="s">
        <x:v>24</x:v>
      </x:c>
      <x:c r="D17" s="7" t="s">
        <x:v>25</x:v>
      </x:c>
    </x:row>
    <x:row r="18" ht="18" hidden="0" customHeight="1">
      <x:c r="A18" s="7" t="s">
        <x:v>26</x:v>
      </x:c>
      <x:c r="B18" s="7" t="s">
        <x:v>18</x:v>
      </x:c>
      <x:c r="C18" s="7" t="s">
        <x:v>27</x:v>
      </x:c>
      <x:c r="D18" s="7"/>
    </x:row>
    <x:row r="19" ht="18" hidden="0" customHeight="1">
      <x:c r="A19" s="7" t="s">
        <x:v>28</x:v>
      </x:c>
      <x:c r="B19" s="8" t="s">
        <x:v>29</x:v>
      </x:c>
      <x:c r="C19" s="7" t="s">
        <x:v>30</x:v>
      </x:c>
      <x:c r="D19" s="7" t="s">
        <x:v>31</x:v>
      </x:c>
    </x:row>
    <x:row r="20" ht="18" hidden="0" customHeight="1">
      <x:c r="A20" s="7" t="s">
        <x:v>32</x:v>
      </x:c>
      <x:c r="B20" s="7" t="s">
        <x:v>33</x:v>
      </x:c>
      <x:c r="C20" s="7" t="s">
        <x:v>34</x:v>
      </x:c>
      <x:c r="D20" s="7"/>
    </x:row>
    <x:row r="21" ht="18" hidden="0" customHeight="1">
      <x:c r="A21" s="7" t="s">
        <x:v>35</x:v>
      </x:c>
      <x:c r="B21" s="7" t="s">
        <x:v>18</x:v>
      </x:c>
      <x:c r="C21" s="7" t="s">
        <x:v>36</x:v>
      </x:c>
      <x:c r="D21" s="7"/>
    </x:row>
    <x:row r="22" ht="18" hidden="0" customHeight="1">
      <x:c r="A22" s="7" t="s">
        <x:v>37</x:v>
      </x:c>
      <x:c r="B22" s="8" t="s">
        <x:v>38</x:v>
      </x:c>
      <x:c r="C22" s="7" t="s">
        <x:v>39</x:v>
      </x:c>
      <x:c r="D22" s="7" t="s">
        <x:v>25</x:v>
      </x:c>
    </x:row>
    <x:row r="23" ht="18" hidden="0" customHeight="1">
      <x:c r="A23" s="7" t="s">
        <x:v>40</x:v>
      </x:c>
      <x:c r="B23" s="7" t="s">
        <x:v>18</x:v>
      </x:c>
      <x:c r="C23" s="7" t="s">
        <x:v>41</x:v>
      </x:c>
      <x:c r="D23" s="7"/>
    </x:row>
    <x:row r="24" ht="18" hidden="0" customHeight="1">
      <x:c r="A24" s="7" t="s">
        <x:v>42</x:v>
      </x:c>
      <x:c r="B24" s="8" t="s">
        <x:v>43</x:v>
      </x:c>
      <x:c r="C24" s="7" t="s">
        <x:v>44</x:v>
      </x:c>
      <x:c r="D24" s="7" t="s">
        <x:v>25</x:v>
      </x:c>
    </x:row>
    <x:row r="25" ht="18" hidden="0" customHeight="1">
      <x:c r="A25" s="7" t="s">
        <x:v>45</x:v>
      </x:c>
      <x:c r="B25" s="7" t="s">
        <x:v>33</x:v>
      </x:c>
      <x:c r="C25" s="7" t="s">
        <x:v>34</x:v>
      </x:c>
      <x:c r="D25" s="7"/>
    </x:row>
    <x:row r="26" ht="18" hidden="0" customHeight="1">
      <x:c r="A26" s="7" t="s">
        <x:v>46</x:v>
      </x:c>
      <x:c r="B26" s="7" t="s">
        <x:v>18</x:v>
      </x:c>
      <x:c r="C26" s="7" t="s">
        <x:v>47</x:v>
      </x:c>
      <x:c r="D26" s="7"/>
    </x:row>
    <x:row r="27" ht="18" hidden="0" customHeight="1">
      <x:c r="A27" s="7" t="s">
        <x:v>48</x:v>
      </x:c>
      <x:c r="B27" s="8" t="s">
        <x:v>49</x:v>
      </x:c>
      <x:c r="C27" s="7" t="s">
        <x:v>50</x:v>
      </x:c>
      <x:c r="D27" s="7" t="s">
        <x:v>25</x:v>
      </x:c>
    </x:row>
    <x:row r="28" ht="18" hidden="0" customHeight="1">
      <x:c r="A28" s="7" t="s">
        <x:v>51</x:v>
      </x:c>
      <x:c r="B28" s="7" t="s">
        <x:v>18</x:v>
      </x:c>
      <x:c r="C28" s="7" t="s">
        <x:v>52</x:v>
      </x:c>
      <x:c r="D28" s="7"/>
    </x:row>
    <x:row r="29" ht="33" hidden="0" customHeight="1">
      <x:c r="A29" s="7" t="s">
        <x:v>53</x:v>
      </x:c>
      <x:c r="B29" s="8" t="s">
        <x:v>54</x:v>
      </x:c>
      <x:c r="C29" s="7" t="s">
        <x:v>55</x:v>
      </x:c>
      <x:c r="D29" s="7" t="s">
        <x:v>56</x:v>
      </x:c>
    </x:row>
    <x:row r="30" ht="18" hidden="0" customHeight="1">
      <x:c r="A30" s="7" t="s">
        <x:v>57</x:v>
      </x:c>
      <x:c r="B30" s="7" t="s">
        <x:v>58</x:v>
      </x:c>
      <x:c r="C30" s="7" t="s">
        <x:v>59</x:v>
      </x:c>
      <x:c r="D30" s="7"/>
    </x:row>
  </x:sheetData>
  <x:mergeCells>
    <x:mergeCell ref="A2:D2"/>
    <x:mergeCell ref="A4:D4"/>
    <x:mergeCell ref="A5:D5"/>
    <x:mergeCell ref="A6:D6"/>
    <x:mergeCell ref="A7:D7"/>
    <x:mergeCell ref="A8:D8"/>
    <x:mergeCell ref="A9:D9"/>
    <x:mergeCell ref="A10:D10"/>
  </x:mergeCells>
  <x:pageMargins left="0.7" right="0.7" top="0.75" bottom="0.75" header="0.3" footer="0.3"/>
</x:worksheet>
</file>

<file path=xl/worksheets/sheet2.xml><?xml version="1.0" encoding="utf-8"?>
<x:worksheet xmlns:x="http://schemas.openxmlformats.org/spreadsheetml/2006/main">
  <x:sheetViews>
    <x:sheetView showGridLines="1" workbookViewId="0"/>
  </x:sheetViews>
  <x:sheetFormatPr defaultColWidth="8.6796875" defaultRowHeight="15"/>
  <x:cols>
    <x:col min="1" max="1" width="12" hidden="0" customWidth="1"/>
    <x:col min="2" max="2" width="34" hidden="0" customWidth="1"/>
    <x:col min="3" max="3" width="70" hidden="0" customWidth="1"/>
  </x:cols>
  <x:sheetData>
    <x:row r="1" ht="17.350000381469727" hidden="0">
      <x:c r="A1" s="1" t="s">
        <x:v>60</x:v>
      </x:c>
    </x:row>
    <x:row r="2" ht="33" hidden="0" customHeight="1">
      <x:c r="A2" s="2" t="s">
        <x:v>61</x:v>
      </x:c>
      <x:c r="B2" s="2"/>
      <x:c r="C2" s="2"/>
    </x:row>
    <x:row r="3" ht="18" hidden="0" customHeight="1">
      <x:c r="A3" s="4" t="s">
        <x:v>62</x:v>
      </x:c>
      <x:c r="B3" s="4"/>
      <x:c r="C3" s="4"/>
    </x:row>
    <x:row r="4" ht="18" hidden="0" customHeight="1">
      <x:c r="A4" s="4" t="s">
        <x:v>63</x:v>
      </x:c>
      <x:c r="B4" s="4"/>
      <x:c r="C4" s="4"/>
    </x:row>
    <x:row r="6" ht="15" hidden="0">
      <x:c r="A6" s="5" t="s">
        <x:v>64</x:v>
      </x:c>
    </x:row>
    <x:row r="7" ht="18" hidden="0" customHeight="1">
      <x:c r="A7" s="6" t="s">
        <x:v>65</x:v>
      </x:c>
      <x:c r="B7" s="6" t="s">
        <x:v>12</x:v>
      </x:c>
      <x:c r="C7" s="6" t="s">
        <x:v>66</x:v>
      </x:c>
    </x:row>
    <x:row r="8" ht="18" hidden="0" customHeight="1">
      <x:c r="A8" s="8" t="s">
        <x:v>67</x:v>
      </x:c>
      <x:c r="B8" s="7" t="s">
        <x:v>68</x:v>
      </x:c>
      <x:c r="C8" s="7" t="s">
        <x:v>69</x:v>
      </x:c>
    </x:row>
    <x:row r="9" ht="33" hidden="0" customHeight="1">
      <x:c r="A9" s="8" t="s">
        <x:v>70</x:v>
      </x:c>
      <x:c r="B9" s="7" t="s">
        <x:v>71</x:v>
      </x:c>
      <x:c r="C9" s="7" t="s">
        <x:v>72</x:v>
      </x:c>
    </x:row>
    <x:row r="10" ht="33" hidden="0" customHeight="1">
      <x:c r="A10" s="8" t="s">
        <x:v>73</x:v>
      </x:c>
      <x:c r="B10" s="7" t="s">
        <x:v>74</x:v>
      </x:c>
      <x:c r="C10" s="7" t="s">
        <x:v>75</x:v>
      </x:c>
    </x:row>
    <x:row r="11" ht="33" hidden="0" customHeight="1">
      <x:c r="A11" s="8" t="s">
        <x:v>76</x:v>
      </x:c>
      <x:c r="B11" s="7" t="s">
        <x:v>77</x:v>
      </x:c>
      <x:c r="C11" s="7" t="s">
        <x:v>78</x:v>
      </x:c>
    </x:row>
    <x:row r="12" ht="18" hidden="0" customHeight="1">
      <x:c r="A12" s="8" t="s">
        <x:v>79</x:v>
      </x:c>
      <x:c r="B12" s="7" t="s">
        <x:v>80</x:v>
      </x:c>
      <x:c r="C12" s="7" t="s">
        <x:v>81</x:v>
      </x:c>
    </x:row>
    <x:row r="13" ht="18" hidden="0" customHeight="1">
      <x:c r="A13" s="8" t="s">
        <x:v>82</x:v>
      </x:c>
      <x:c r="B13" s="7" t="s">
        <x:v>83</x:v>
      </x:c>
      <x:c r="C13" s="7" t="s">
        <x:v>84</x:v>
      </x:c>
    </x:row>
    <x:row r="15" ht="18" hidden="0" customHeight="1">
      <x:c r="A15" s="3" t="s">
        <x:v>85</x:v>
      </x:c>
      <x:c r="B15" s="3"/>
      <x:c r="C15" s="3"/>
    </x:row>
    <x:row r="16" ht="18" hidden="0" customHeight="1">
      <x:c r="A16" s="4" t="s">
        <x:v>86</x:v>
      </x:c>
      <x:c r="B16" s="4"/>
      <x:c r="C16" s="4"/>
    </x:row>
    <x:row r="18" ht="15" hidden="0">
      <x:c r="A18" s="5" t="s">
        <x:v>87</x:v>
      </x:c>
    </x:row>
    <x:row r="19" ht="18" hidden="0" customHeight="1">
      <x:c r="A19" s="6"/>
      <x:c r="B19" s="6" t="s">
        <x:v>88</x:v>
      </x:c>
      <x:c r="C19" s="6" t="s">
        <x:v>89</x:v>
      </x:c>
    </x:row>
    <x:row r="20" ht="18" hidden="0" customHeight="1">
      <x:c r="A20" s="7" t="s">
        <x:v>90</x:v>
      </x:c>
      <x:c r="B20" s="8" t="s">
        <x:v>91</x:v>
      </x:c>
      <x:c r="C20" s="7" t="s">
        <x:v>92</x:v>
      </x:c>
    </x:row>
    <x:row r="21" ht="18" hidden="0" customHeight="1">
      <x:c r="A21" s="7" t="s">
        <x:v>93</x:v>
      </x:c>
      <x:c r="B21" s="8" t="s">
        <x:v>94</x:v>
      </x:c>
      <x:c r="C21" s="7" t="s">
        <x:v>95</x:v>
      </x:c>
    </x:row>
    <x:row r="22" ht="18" hidden="0" customHeight="1">
      <x:c r="A22" s="7" t="s">
        <x:v>96</x:v>
      </x:c>
      <x:c r="B22" s="8" t="s">
        <x:v>97</x:v>
      </x:c>
      <x:c r="C22" s="7" t="s">
        <x:v>98</x:v>
      </x:c>
    </x:row>
    <x:row r="23" ht="18" hidden="0" customHeight="1">
      <x:c r="A23" s="9" t="s">
        <x:v>99</x:v>
      </x:c>
      <x:c r="B23" s="9"/>
      <x:c r="C23" s="9"/>
    </x:row>
    <x:row r="25" ht="15" hidden="0">
      <x:c r="A25" s="5" t="s">
        <x:v>100</x:v>
      </x:c>
    </x:row>
    <x:row r="26" ht="18" hidden="0" customHeight="1">
      <x:c r="A26" s="6"/>
      <x:c r="B26" s="6" t="s">
        <x:v>101</x:v>
      </x:c>
      <x:c r="C26" s="6" t="s">
        <x:v>102</x:v>
      </x:c>
    </x:row>
    <x:row r="27" ht="18" hidden="0" customHeight="1">
      <x:c r="A27" s="7" t="s">
        <x:v>90</x:v>
      </x:c>
      <x:c r="B27" s="8" t="s">
        <x:v>103</x:v>
      </x:c>
      <x:c r="C27" s="7" t="s">
        <x:v>104</x:v>
      </x:c>
    </x:row>
    <x:row r="28" ht="18" hidden="0" customHeight="1">
      <x:c r="A28" s="7" t="s">
        <x:v>93</x:v>
      </x:c>
      <x:c r="B28" s="8" t="s">
        <x:v>105</x:v>
      </x:c>
      <x:c r="C28" s="7" t="s">
        <x:v>106</x:v>
      </x:c>
    </x:row>
    <x:row r="29" ht="18" hidden="0" customHeight="1">
      <x:c r="A29" s="7" t="s">
        <x:v>96</x:v>
      </x:c>
      <x:c r="B29" s="8" t="s">
        <x:v>107</x:v>
      </x:c>
      <x:c r="C29" s="7" t="s">
        <x:v>108</x:v>
      </x:c>
    </x:row>
    <x:row r="30" ht="18" hidden="0" customHeight="1">
      <x:c r="A30" s="7" t="s">
        <x:v>109</x:v>
      </x:c>
      <x:c r="B30" s="8" t="s">
        <x:v>110</x:v>
      </x:c>
      <x:c r="C30" s="7" t="s">
        <x:v>111</x:v>
      </x:c>
    </x:row>
    <x:row r="31" ht="18" hidden="0" customHeight="1">
      <x:c r="A31" s="7" t="s">
        <x:v>112</x:v>
      </x:c>
      <x:c r="B31" s="8" t="s">
        <x:v>113</x:v>
      </x:c>
      <x:c r="C31" s="7" t="s">
        <x:v>114</x:v>
      </x:c>
    </x:row>
    <x:row r="33" ht="15" hidden="0">
      <x:c r="A33" s="5" t="s">
        <x:v>115</x:v>
      </x:c>
    </x:row>
    <x:row r="34" ht="18" hidden="0" customHeight="1">
      <x:c r="A34" s="6"/>
      <x:c r="B34" s="6" t="s">
        <x:v>116</x:v>
      </x:c>
      <x:c r="C34" s="6" t="s">
        <x:v>117</x:v>
      </x:c>
    </x:row>
    <x:row r="35" ht="18" hidden="0" customHeight="1">
      <x:c r="A35" s="7" t="s">
        <x:v>90</x:v>
      </x:c>
      <x:c r="B35" s="7" t="s">
        <x:v>118</x:v>
      </x:c>
      <x:c r="C35" s="7" t="s">
        <x:v>119</x:v>
      </x:c>
    </x:row>
    <x:row r="36" ht="18" hidden="0" customHeight="1">
      <x:c r="A36" s="7" t="s">
        <x:v>93</x:v>
      </x:c>
      <x:c r="B36" s="7" t="s">
        <x:v>120</x:v>
      </x:c>
      <x:c r="C36" s="7" t="s">
        <x:v>121</x:v>
      </x:c>
    </x:row>
    <x:row r="37" ht="18" hidden="0" customHeight="1">
      <x:c r="A37" s="7" t="s">
        <x:v>96</x:v>
      </x:c>
      <x:c r="B37" s="7" t="s">
        <x:v>122</x:v>
      </x:c>
      <x:c r="C37" s="7" t="s">
        <x:v>123</x:v>
      </x:c>
    </x:row>
    <x:row r="38" ht="18" hidden="0" customHeight="1">
      <x:c r="A38" s="7" t="s">
        <x:v>109</x:v>
      </x:c>
      <x:c r="B38" s="7" t="s">
        <x:v>124</x:v>
      </x:c>
      <x:c r="C38" s="7" t="s">
        <x:v>125</x:v>
      </x:c>
    </x:row>
    <x:row r="39" ht="18" hidden="0" customHeight="1">
      <x:c r="A39" s="7" t="s">
        <x:v>112</x:v>
      </x:c>
      <x:c r="B39" s="7" t="s">
        <x:v>126</x:v>
      </x:c>
      <x:c r="C39" s="7" t="s">
        <x:v>127</x:v>
      </x:c>
    </x:row>
    <x:row r="40" ht="18" hidden="0" customHeight="1">
      <x:c r="A40" s="7" t="s">
        <x:v>128</x:v>
      </x:c>
      <x:c r="B40" s="7" t="s">
        <x:v>129</x:v>
      </x:c>
      <x:c r="C40" s="7" t="s">
        <x:v>130</x:v>
      </x:c>
    </x:row>
    <x:row r="41" ht="18" hidden="0" customHeight="1">
      <x:c r="A41" s="7" t="s">
        <x:v>131</x:v>
      </x:c>
      <x:c r="B41" s="7" t="s">
        <x:v>132</x:v>
      </x:c>
      <x:c r="C41" s="7" t="s">
        <x:v>133</x:v>
      </x:c>
    </x:row>
    <x:row r="42" ht="18" hidden="0" customHeight="1">
      <x:c r="A42" s="7" t="s">
        <x:v>134</x:v>
      </x:c>
      <x:c r="B42" s="7" t="s">
        <x:v>135</x:v>
      </x:c>
      <x:c r="C42" s="7" t="s">
        <x:v>136</x:v>
      </x:c>
    </x:row>
    <x:row r="43" ht="18" hidden="0" customHeight="1">
      <x:c r="A43" s="7" t="s">
        <x:v>137</x:v>
      </x:c>
      <x:c r="B43" s="7" t="s">
        <x:v>138</x:v>
      </x:c>
      <x:c r="C43" s="7" t="s">
        <x:v>139</x:v>
      </x:c>
    </x:row>
    <x:row r="44" ht="18" hidden="0" customHeight="1">
      <x:c r="A44" s="7" t="s">
        <x:v>140</x:v>
      </x:c>
      <x:c r="B44" s="7" t="s">
        <x:v>141</x:v>
      </x:c>
      <x:c r="C44" s="7" t="s">
        <x:v>142</x:v>
      </x:c>
    </x:row>
    <x:row r="45" ht="18" hidden="0" customHeight="1">
      <x:c r="A45" s="7" t="s">
        <x:v>143</x:v>
      </x:c>
      <x:c r="B45" s="7" t="s">
        <x:v>144</x:v>
      </x:c>
      <x:c r="C45" s="7" t="s">
        <x:v>145</x:v>
      </x:c>
    </x:row>
    <x:row r="46" ht="33" hidden="0" customHeight="1">
      <x:c r="A46" s="7" t="s">
        <x:v>146</x:v>
      </x:c>
      <x:c r="B46" s="7" t="s">
        <x:v>147</x:v>
      </x:c>
      <x:c r="C46" s="7" t="s">
        <x:v>148</x:v>
      </x:c>
    </x:row>
    <x:row r="47" ht="18" hidden="0" customHeight="1">
      <x:c r="A47" s="7" t="s">
        <x:v>149</x:v>
      </x:c>
      <x:c r="B47" s="7" t="s">
        <x:v>150</x:v>
      </x:c>
      <x:c r="C47" s="7" t="s">
        <x:v>151</x:v>
      </x:c>
    </x:row>
    <x:row r="48" ht="18" hidden="0" customHeight="1">
      <x:c r="A48" s="7" t="s">
        <x:v>152</x:v>
      </x:c>
      <x:c r="B48" s="7" t="s">
        <x:v>153</x:v>
      </x:c>
      <x:c r="C48" s="7" t="s">
        <x:v>154</x:v>
      </x:c>
    </x:row>
    <x:row r="49" ht="33" hidden="0" customHeight="1">
      <x:c r="A49" s="7" t="s">
        <x:v>155</x:v>
      </x:c>
      <x:c r="B49" s="7" t="s">
        <x:v>156</x:v>
      </x:c>
      <x:c r="C49" s="7" t="s">
        <x:v>157</x:v>
      </x:c>
    </x:row>
    <x:row r="50" ht="18" hidden="0" customHeight="1">
      <x:c r="A50" s="7" t="s">
        <x:v>158</x:v>
      </x:c>
      <x:c r="B50" s="7" t="s">
        <x:v>159</x:v>
      </x:c>
      <x:c r="C50" s="7" t="s">
        <x:v>160</x:v>
      </x:c>
    </x:row>
    <x:row r="51" ht="18" hidden="0" customHeight="1">
      <x:c r="A51" s="7" t="s">
        <x:v>161</x:v>
      </x:c>
      <x:c r="B51" s="7" t="s">
        <x:v>162</x:v>
      </x:c>
      <x:c r="C51" s="7" t="s">
        <x:v>163</x:v>
      </x:c>
    </x:row>
    <x:row r="52" ht="18" hidden="0" customHeight="1">
      <x:c r="A52" s="7" t="s">
        <x:v>164</x:v>
      </x:c>
      <x:c r="B52" s="7" t="s">
        <x:v>165</x:v>
      </x:c>
      <x:c r="C52" s="7" t="s">
        <x:v>166</x:v>
      </x:c>
    </x:row>
    <x:row r="53" ht="18" hidden="0" customHeight="1">
      <x:c r="A53" s="7" t="s">
        <x:v>167</x:v>
      </x:c>
      <x:c r="B53" s="7" t="s">
        <x:v>168</x:v>
      </x:c>
      <x:c r="C53" s="7" t="s">
        <x:v>169</x:v>
      </x:c>
    </x:row>
    <x:row r="54" ht="18" hidden="0" customHeight="1">
      <x:c r="A54" s="7" t="s">
        <x:v>170</x:v>
      </x:c>
      <x:c r="B54" s="7" t="s">
        <x:v>171</x:v>
      </x:c>
      <x:c r="C54" s="7" t="s">
        <x:v>172</x:v>
      </x:c>
    </x:row>
    <x:row r="55" ht="18" hidden="0" customHeight="1">
      <x:c r="A55" s="7" t="s">
        <x:v>173</x:v>
      </x:c>
      <x:c r="B55" s="7" t="s">
        <x:v>174</x:v>
      </x:c>
      <x:c r="C55" s="7" t="s">
        <x:v>175</x:v>
      </x:c>
    </x:row>
    <x:row r="56" ht="18" hidden="0" customHeight="1">
      <x:c r="A56" s="7" t="s">
        <x:v>176</x:v>
      </x:c>
      <x:c r="B56" s="7" t="s">
        <x:v>177</x:v>
      </x:c>
      <x:c r="C56" s="7" t="s">
        <x:v>178</x:v>
      </x:c>
    </x:row>
    <x:row r="57" ht="18" hidden="0" customHeight="1">
      <x:c r="A57" s="7" t="s">
        <x:v>179</x:v>
      </x:c>
      <x:c r="B57" s="7" t="s">
        <x:v>180</x:v>
      </x:c>
      <x:c r="C57" s="7" t="s">
        <x:v>181</x:v>
      </x:c>
    </x:row>
    <x:row r="58" ht="18" hidden="0" customHeight="1">
      <x:c r="A58" s="7" t="s">
        <x:v>182</x:v>
      </x:c>
      <x:c r="B58" s="7" t="s">
        <x:v>183</x:v>
      </x:c>
      <x:c r="C58" s="7" t="s">
        <x:v>184</x:v>
      </x:c>
    </x:row>
    <x:row r="59" ht="18" hidden="0" customHeight="1">
      <x:c r="A59" s="7" t="s">
        <x:v>185</x:v>
      </x:c>
      <x:c r="B59" s="7" t="s">
        <x:v>186</x:v>
      </x:c>
      <x:c r="C59" s="7" t="s">
        <x:v>187</x:v>
      </x:c>
    </x:row>
    <x:row r="60" ht="18" hidden="0" customHeight="1">
      <x:c r="A60" s="7" t="s">
        <x:v>188</x:v>
      </x:c>
      <x:c r="B60" s="7" t="s">
        <x:v>189</x:v>
      </x:c>
      <x:c r="C60" s="7" t="s">
        <x:v>190</x:v>
      </x:c>
    </x:row>
  </x:sheetData>
  <x:mergeCells>
    <x:mergeCell ref="A2:C2"/>
    <x:mergeCell ref="A3:C3"/>
    <x:mergeCell ref="A4:C4"/>
    <x:mergeCell ref="A15:C15"/>
    <x:mergeCell ref="A16:C16"/>
    <x:mergeCell ref="A23:C23"/>
  </x:mergeCells>
  <x:pageMargins left="0.7" right="0.7" top="0.75" bottom="0.75" header="0.3" footer="0.3"/>
</x:worksheet>
</file>

<file path=xl/worksheets/sheet3.xml><?xml version="1.0" encoding="utf-8"?>
<x:worksheet xmlns:x="http://schemas.openxmlformats.org/spreadsheetml/2006/main">
  <x:sheetViews>
    <x:sheetView showGridLines="1" workbookViewId="0"/>
  </x:sheetViews>
  <x:sheetFormatPr defaultColWidth="8.6796875" defaultRowHeight="15"/>
  <x:cols>
    <x:col min="1" max="1" width="7" hidden="0" customWidth="1"/>
    <x:col min="2" max="2" width="70" hidden="0" customWidth="1"/>
    <x:col min="3" max="3" width="22" hidden="0" customWidth="1"/>
    <x:col min="4" max="4" width="14" hidden="0" customWidth="1"/>
    <x:col min="5" max="5" width="13" hidden="0" customWidth="1"/>
  </x:cols>
  <x:sheetData>
    <x:row r="1" ht="17.350000381469727" hidden="0">
      <x:c r="A1" s="1" t="s">
        <x:v>191</x:v>
      </x:c>
    </x:row>
    <x:row r="2" ht="18" hidden="0" customHeight="1">
      <x:c r="A2" s="2" t="s">
        <x:v>192</x:v>
      </x:c>
      <x:c r="B2" s="2"/>
      <x:c r="C2" s="2"/>
      <x:c r="D2" s="2"/>
      <x:c r="E2" s="2"/>
    </x:row>
    <x:row r="4" ht="18" hidden="0" customHeight="1">
      <x:c r="A4" s="4" t="s">
        <x:v>193</x:v>
      </x:c>
      <x:c r="B4" s="4"/>
      <x:c r="C4" s="4"/>
      <x:c r="D4" s="4"/>
      <x:c r="E4" s="4"/>
    </x:row>
    <x:row r="5" ht="18" hidden="0" customHeight="1">
      <x:c r="A5" s="4" t="s">
        <x:v>194</x:v>
      </x:c>
      <x:c r="B5" s="4"/>
      <x:c r="C5" s="4"/>
      <x:c r="D5" s="4"/>
      <x:c r="E5" s="4"/>
    </x:row>
    <x:row r="6" ht="18" hidden="0" customHeight="1">
      <x:c r="A6" s="4" t="s">
        <x:v>195</x:v>
      </x:c>
      <x:c r="B6" s="4"/>
      <x:c r="C6" s="4"/>
      <x:c r="D6" s="4"/>
      <x:c r="E6" s="4"/>
    </x:row>
    <x:row r="8" ht="33" hidden="0" customHeight="1">
      <x:c r="A8" s="6" t="s">
        <x:v>196</x:v>
      </x:c>
      <x:c r="B8" s="6"/>
      <x:c r="C8" s="6" t="s">
        <x:v>197</x:v>
      </x:c>
      <x:c r="D8" s="6" t="s">
        <x:v>198</x:v>
      </x:c>
      <x:c r="E8" s="6" t="s">
        <x:v>199</x:v>
      </x:c>
    </x:row>
    <x:row r="9" ht="18" hidden="0" customHeight="1">
      <x:c r="A9" s="7" t="s">
        <x:v>200</x:v>
      </x:c>
      <x:c r="B9" s="7"/>
      <x:c r="C9" s="7" t="n">
        <x:v>20</x:v>
      </x:c>
      <x:c r="D9" s="7" t="n">
        <x:v>16</x:v>
      </x:c>
      <x:c r="E9" s="7" t="n">
        <x:v>19</x:v>
      </x:c>
    </x:row>
    <x:row r="10" ht="18" hidden="0" customHeight="1">
      <x:c r="A10" s="7" t="s">
        <x:v>201</x:v>
      </x:c>
      <x:c r="B10" s="7"/>
      <x:c r="C10" s="7" t="n">
        <x:v>20</x:v>
      </x:c>
      <x:c r="D10" s="7" t="n">
        <x:v>15</x:v>
      </x:c>
      <x:c r="E10" s="7" t="n">
        <x:v>17</x:v>
      </x:c>
    </x:row>
    <x:row r="11" ht="18" hidden="0" customHeight="1">
      <x:c r="A11" s="7" t="s">
        <x:v>202</x:v>
      </x:c>
      <x:c r="B11" s="7"/>
      <x:c r="C11" s="7" t="n">
        <x:v>10</x:v>
      </x:c>
      <x:c r="D11" s="7" t="n">
        <x:v>9</x:v>
      </x:c>
      <x:c r="E11" s="7" t="n">
        <x:v>6</x:v>
      </x:c>
    </x:row>
    <x:row r="12" ht="18" hidden="0" customHeight="1">
      <x:c r="A12" s="8" t="s">
        <x:v>203</x:v>
      </x:c>
      <x:c r="B12" s="8"/>
      <x:c r="C12" s="8" t="n">
        <x:v>50</x:v>
      </x:c>
      <x:c r="D12" s="8" t="n">
        <x:v>40</x:v>
      </x:c>
      <x:c r="E12" s="8" t="n">
        <x:v>42</x:v>
      </x:c>
    </x:row>
    <x:row r="14" ht="33" hidden="0" customHeight="1">
      <x:c r="A14" s="4" t="s">
        <x:v>204</x:v>
      </x:c>
      <x:c r="B14" s="4"/>
      <x:c r="C14" s="4"/>
      <x:c r="D14" s="4"/>
      <x:c r="E14" s="4"/>
    </x:row>
    <x:row r="15" ht="33" hidden="0" customHeight="1">
      <x:c r="A15" s="4" t="s">
        <x:v>205</x:v>
      </x:c>
      <x:c r="B15" s="4"/>
      <x:c r="C15" s="4"/>
      <x:c r="D15" s="4"/>
      <x:c r="E15" s="4"/>
    </x:row>
    <x:row r="16" ht="18" hidden="0" customHeight="1">
      <x:c r="A16" s="4" t="s">
        <x:v>206</x:v>
      </x:c>
      <x:c r="B16" s="4"/>
      <x:c r="C16" s="4"/>
      <x:c r="D16" s="4"/>
      <x:c r="E16" s="4"/>
    </x:row>
    <x:row r="18" ht="18" hidden="0" customHeight="1">
      <x:c r="A18" s="6" t="s">
        <x:v>207</x:v>
      </x:c>
      <x:c r="B18" s="6" t="s">
        <x:v>208</x:v>
      </x:c>
      <x:c r="C18" s="6" t="s">
        <x:v>209</x:v>
      </x:c>
      <x:c r="D18" s="6" t="s">
        <x:v>210</x:v>
      </x:c>
      <x:c r="E18" s="6" t="s">
        <x:v>211</x:v>
      </x:c>
    </x:row>
    <x:row r="19" ht="33" hidden="0" customHeight="1">
      <x:c r="A19" s="8" t="s">
        <x:v>212</x:v>
      </x:c>
      <x:c r="B19" s="7" t="s">
        <x:v>213</x:v>
      </x:c>
      <x:c r="C19" s="10" t="n">
        <x:v>2</x:v>
      </x:c>
      <x:c r="D19" s="11" t="str">
        <x:f aca="0">IF(C19="","",IF(ISNUMBER(C19),IF(ABS(C19-2)&lt;=0.01,"Đúng","Chưa đúng"),"Gõ một số"))</x:f>
        <x:v>Đúng</x:v>
      </x:c>
      <x:c r="E19" s="7" t="s">
        <x:v>164</x:v>
      </x:c>
    </x:row>
    <x:row r="20" ht="18" hidden="0" customHeight="1">
      <x:c r="A20" s="8" t="s">
        <x:v>214</x:v>
      </x:c>
      <x:c r="B20" s="7" t="s">
        <x:v>215</x:v>
      </x:c>
      <x:c r="C20" s="12" t="n">
        <x:v>0.84</x:v>
      </x:c>
      <x:c r="D20" s="11" t="str">
        <x:f aca="0">IF(C20="","",IF(ISNUMBER(C20),IF(OR(ABS(C20-0.84)&lt;=0.006,ABS(C20-84)&lt;=0.6),"Đúng","Chưa đúng"),"Gõ một số"))</x:f>
        <x:v>Đúng</x:v>
      </x:c>
      <x:c r="E20" s="7" t="s">
        <x:v>164</x:v>
      </x:c>
    </x:row>
    <x:row r="21" ht="18" hidden="0" customHeight="1">
      <x:c r="A21" s="8" t="s">
        <x:v>216</x:v>
      </x:c>
      <x:c r="B21" s="7" t="s">
        <x:v>217</x:v>
      </x:c>
      <x:c r="C21" s="13" t="str">
        <x:v>Có</x:v>
      </x:c>
      <x:c r="D21" s="11" t="str">
        <x:f aca="0">IF(C21="","",IF(C21="Có","Đúng","Chưa đúng"))</x:f>
        <x:v>Đúng</x:v>
      </x:c>
      <x:c r="E21" s="7" t="s">
        <x:v>164</x:v>
      </x:c>
    </x:row>
    <x:row r="22" ht="18" hidden="0" customHeight="1">
      <x:c r="A22" s="8" t="s">
        <x:v>218</x:v>
      </x:c>
      <x:c r="B22" s="7" t="s">
        <x:v>219</x:v>
      </x:c>
      <x:c r="C22" s="12" t="n">
        <x:v>0.6</x:v>
      </x:c>
      <x:c r="D22" s="11" t="str">
        <x:f aca="0">IF(C22="","",IF(ISNUMBER(C22),IF(OR(ABS(C22-0.6)&lt;=0.006,ABS(C22-60)&lt;=0.6),"Đúng","Chưa đúng"),"Gõ một số"))</x:f>
        <x:v>Đúng</x:v>
      </x:c>
      <x:c r="E22" s="7" t="s">
        <x:v>164</x:v>
      </x:c>
    </x:row>
    <x:row r="23" ht="18" hidden="0" customHeight="1">
      <x:c r="A23" s="8" t="s">
        <x:v>220</x:v>
      </x:c>
      <x:c r="B23" s="7" t="s">
        <x:v>221</x:v>
      </x:c>
      <x:c r="C23" s="10" t="n">
        <x:v>30</x:v>
      </x:c>
      <x:c r="D23" s="11" t="str">
        <x:f aca="0">IF(C23="","",IF(ISNUMBER(C23),IF(ABS(C23-30)&lt;=0.01,"Đúng","Chưa đúng"),"Gõ một số"))</x:f>
        <x:v>Đúng</x:v>
      </x:c>
      <x:c r="E23" s="7" t="s">
        <x:v>164</x:v>
      </x:c>
    </x:row>
    <x:row r="24" ht="18" hidden="0" customHeight="1">
      <x:c r="A24" s="8" t="s">
        <x:v>222</x:v>
      </x:c>
      <x:c r="B24" s="7" t="s">
        <x:v>223</x:v>
      </x:c>
      <x:c r="C24" s="13" t="str">
        <x:v>B</x:v>
      </x:c>
      <x:c r="D24" s="11" t="str">
        <x:f aca="0">IF(C24="","",IF(C24="B","Đúng","Chưa đúng"))</x:f>
        <x:v>Đúng</x:v>
      </x:c>
      <x:c r="E24" s="7" t="s">
        <x:v>164</x:v>
      </x:c>
    </x:row>
    <x:row r="25" ht="33" hidden="0" customHeight="1">
      <x:c r="A25" s="8" t="s">
        <x:v>224</x:v>
      </x:c>
      <x:c r="B25" s="7" t="s">
        <x:v>225</x:v>
      </x:c>
      <x:c r="C25" s="13" t="str">
        <x:v>Khoảng 1.000 ca</x:v>
      </x:c>
      <x:c r="D25" s="11" t="str">
        <x:f aca="0">IF(C25="","",IF(C25="Khoảng 1.000 ca","Đúng","Chưa đúng"))</x:f>
        <x:v>Đúng</x:v>
      </x:c>
      <x:c r="E25" s="7" t="s">
        <x:v>164</x:v>
      </x:c>
    </x:row>
    <x:row r="26" ht="33" hidden="0" customHeight="1">
      <x:c r="A26" s="8" t="s">
        <x:v>226</x:v>
      </x:c>
      <x:c r="B26" s="7" t="s">
        <x:v>227</x:v>
      </x:c>
      <x:c r="C26" s="13" t="str">
        <x:v>B</x:v>
      </x:c>
      <x:c r="D26" s="11" t="str">
        <x:f aca="0">IF(C26="","",IF(C26="B","Đúng","Chưa đúng"))</x:f>
        <x:v>Đúng</x:v>
      </x:c>
      <x:c r="E26" s="7" t="s">
        <x:v>179</x:v>
      </x:c>
    </x:row>
    <x:row r="27" ht="33" hidden="0" customHeight="1">
      <x:c r="A27" s="8" t="s">
        <x:v>228</x:v>
      </x:c>
      <x:c r="B27" s="7" t="s">
        <x:v>229</x:v>
      </x:c>
      <x:c r="C27" s="13" t="str">
        <x:v>Trục 2</x:v>
      </x:c>
      <x:c r="D27" s="11" t="str">
        <x:f aca="0">IF(C27="","",IF(C27="Trục 2","Đúng","Chưa đúng"))</x:f>
        <x:v>Đúng</x:v>
      </x:c>
      <x:c r="E27" s="7" t="s">
        <x:v>179</x:v>
      </x:c>
    </x:row>
    <x:row r="29" ht="18" hidden="0" customHeight="1">
      <x:c r="A29" s="8" t="s">
        <x:v>230</x:v>
      </x:c>
      <x:c r="B29" s="8"/>
      <x:c r="C29" s="14" t="n">
        <x:f aca="0">COUNTIF(D19:D27,"Đúng")</x:f>
        <x:v>9</x:v>
      </x:c>
      <x:c r="D29" s="7" t="s">
        <x:v>231</x:v>
      </x:c>
    </x:row>
  </x:sheetData>
  <x:mergeCells>
    <x:mergeCell ref="A2:E2"/>
    <x:mergeCell ref="A4:E4"/>
    <x:mergeCell ref="A5:E5"/>
    <x:mergeCell ref="A6:E6"/>
    <x:mergeCell ref="A8:B8"/>
    <x:mergeCell ref="A9:B9"/>
    <x:mergeCell ref="A10:B10"/>
    <x:mergeCell ref="A11:B11"/>
    <x:mergeCell ref="A12:B12"/>
    <x:mergeCell ref="A14:E14"/>
    <x:mergeCell ref="A15:E15"/>
    <x:mergeCell ref="A16:E16"/>
    <x:mergeCell ref="A29:B29"/>
  </x:mergeCells>
  <x:dataValidations count="5">
    <x:dataValidation type="list" errorStyle="stop" operator="between" allowBlank="1" showDropDown="0" showInputMessage="0" showErrorMessage="0" sqref="C21">
      <x:formula1>_ds!$A$1:$A$2</x:formula1>
      <x:formula2>0</x:formula2>
    </x:dataValidation>
    <x:dataValidation type="list" errorStyle="stop" operator="between" allowBlank="1" showDropDown="0" showInputMessage="0" showErrorMessage="0" sqref="C24">
      <x:formula1>_ds!$B$1:$B$3</x:formula1>
      <x:formula2>0</x:formula2>
    </x:dataValidation>
    <x:dataValidation type="list" errorStyle="stop" operator="between" allowBlank="1" showDropDown="0" showInputMessage="0" showErrorMessage="0" sqref="C25">
      <x:formula1>_ds!$C$1:$C$3</x:formula1>
      <x:formula2>0</x:formula2>
    </x:dataValidation>
    <x:dataValidation type="list" errorStyle="stop" operator="between" allowBlank="1" showDropDown="0" showInputMessage="0" showErrorMessage="0" sqref="C26">
      <x:formula1>_ds!$B$1:$B$3</x:formula1>
      <x:formula2>0</x:formula2>
    </x:dataValidation>
    <x:dataValidation type="list" errorStyle="stop" operator="between" allowBlank="1" showDropDown="0" showInputMessage="0" showErrorMessage="0" sqref="C27">
      <x:formula1>_ds!$D$1:$D$3</x:formula1>
      <x:formula2>0</x:formula2>
    </x:dataValidation>
  </x:dataValidations>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defaultColWidth="8.6796875" defaultRowHeight="15"/>
  <x:cols>
    <x:col min="1" max="1" width="7" hidden="0" customWidth="1"/>
    <x:col min="2" max="2" width="70" hidden="0" customWidth="1"/>
    <x:col min="3" max="3" width="22" hidden="0" customWidth="1"/>
    <x:col min="4" max="4" width="14" hidden="0" customWidth="1"/>
    <x:col min="5" max="5" width="13" hidden="0" customWidth="1"/>
  </x:cols>
  <x:sheetData>
    <x:row r="1" ht="17.350000381469727" hidden="0">
      <x:c r="A1" s="1" t="s">
        <x:v>232</x:v>
      </x:c>
    </x:row>
    <x:row r="2" ht="18" hidden="0" customHeight="1">
      <x:c r="A2" s="2" t="s">
        <x:v>192</x:v>
      </x:c>
      <x:c r="B2" s="2"/>
      <x:c r="C2" s="2"/>
      <x:c r="D2" s="2"/>
      <x:c r="E2" s="2"/>
    </x:row>
    <x:row r="4" ht="18" hidden="0" customHeight="1">
      <x:c r="A4" s="4" t="s">
        <x:v>233</x:v>
      </x:c>
      <x:c r="B4" s="4"/>
      <x:c r="C4" s="4"/>
      <x:c r="D4" s="4"/>
      <x:c r="E4" s="4"/>
    </x:row>
    <x:row r="5" ht="18" hidden="0" customHeight="1">
      <x:c r="A5" s="4" t="s">
        <x:v>234</x:v>
      </x:c>
      <x:c r="B5" s="4"/>
      <x:c r="C5" s="4"/>
      <x:c r="D5" s="4"/>
      <x:c r="E5" s="4"/>
    </x:row>
    <x:row r="7" ht="33" hidden="0" customHeight="1">
      <x:c r="A7" s="4" t="s">
        <x:v>235</x:v>
      </x:c>
      <x:c r="B7" s="4"/>
      <x:c r="C7" s="4"/>
      <x:c r="D7" s="4"/>
      <x:c r="E7" s="4"/>
    </x:row>
    <x:row r="9" ht="18" hidden="0" customHeight="1">
      <x:c r="A9" s="6" t="s">
        <x:v>207</x:v>
      </x:c>
      <x:c r="B9" s="6" t="s">
        <x:v>208</x:v>
      </x:c>
      <x:c r="C9" s="6" t="s">
        <x:v>209</x:v>
      </x:c>
      <x:c r="D9" s="6" t="s">
        <x:v>210</x:v>
      </x:c>
      <x:c r="E9" s="6" t="s">
        <x:v>211</x:v>
      </x:c>
    </x:row>
    <x:row r="10" ht="18" hidden="0" customHeight="1">
      <x:c r="A10" s="8" t="s">
        <x:v>236</x:v>
      </x:c>
      <x:c r="B10" s="7" t="s">
        <x:v>237</x:v>
      </x:c>
      <x:c r="C10" s="13" t="str">
        <x:v>Không</x:v>
      </x:c>
      <x:c r="D10" s="11" t="str">
        <x:f aca="0">IF(C10="","",IF(C10="Không","Đúng","Chưa đúng"))</x:f>
        <x:v>Đúng</x:v>
      </x:c>
      <x:c r="E10" s="7" t="s">
        <x:v>188</x:v>
      </x:c>
    </x:row>
    <x:row r="11" ht="33" hidden="0" customHeight="1">
      <x:c r="A11" s="8" t="s">
        <x:v>238</x:v>
      </x:c>
      <x:c r="B11" s="7" t="s">
        <x:v>239</x:v>
      </x:c>
      <x:c r="C11" s="13" t="str">
        <x:v>Có</x:v>
      </x:c>
      <x:c r="D11" s="11" t="str">
        <x:f aca="0">IF(C11="","",IF(C11="Có","Đúng","Chưa đúng"))</x:f>
        <x:v>Đúng</x:v>
      </x:c>
      <x:c r="E11" s="7" t="s">
        <x:v>188</x:v>
      </x:c>
    </x:row>
    <x:row r="12" ht="18" hidden="0" customHeight="1">
      <x:c r="A12" s="8" t="s">
        <x:v>240</x:v>
      </x:c>
      <x:c r="B12" s="7" t="s">
        <x:v>241</x:v>
      </x:c>
      <x:c r="C12" s="13" t="str">
        <x:v>Không</x:v>
      </x:c>
      <x:c r="D12" s="11" t="str">
        <x:f aca="0">IF(C12="","",IF(C12="Không","Đúng","Chưa đúng"))</x:f>
        <x:v>Đúng</x:v>
      </x:c>
      <x:c r="E12" s="7" t="s">
        <x:v>188</x:v>
      </x:c>
    </x:row>
    <x:row r="13" ht="33" hidden="0" customHeight="1">
      <x:c r="A13" s="8" t="s">
        <x:v>242</x:v>
      </x:c>
      <x:c r="B13" s="7" t="s">
        <x:v>243</x:v>
      </x:c>
      <x:c r="C13" s="13" t="str">
        <x:v>Có</x:v>
      </x:c>
      <x:c r="D13" s="11" t="str">
        <x:f aca="0">IF(C13="","",IF(C13="Có","Đúng","Chưa đúng"))</x:f>
        <x:v>Đúng</x:v>
      </x:c>
      <x:c r="E13" s="7" t="s">
        <x:v>188</x:v>
      </x:c>
    </x:row>
    <x:row r="14" ht="33" hidden="0" customHeight="1">
      <x:c r="A14" s="8" t="s">
        <x:v>244</x:v>
      </x:c>
      <x:c r="B14" s="7" t="s">
        <x:v>245</x:v>
      </x:c>
      <x:c r="C14" s="13" t="str">
        <x:v>Có</x:v>
      </x:c>
      <x:c r="D14" s="11" t="str">
        <x:f aca="0">IF(C14="","",IF(C14="Có","Đúng","Chưa đúng"))</x:f>
        <x:v>Đúng</x:v>
      </x:c>
      <x:c r="E14" s="7" t="s">
        <x:v>188</x:v>
      </x:c>
    </x:row>
    <x:row r="15" ht="33" hidden="0" customHeight="1">
      <x:c r="A15" s="8" t="s">
        <x:v>246</x:v>
      </x:c>
      <x:c r="B15" s="7" t="s">
        <x:v>247</x:v>
      </x:c>
      <x:c r="C15" s="13" t="str">
        <x:v>Không</x:v>
      </x:c>
      <x:c r="D15" s="11" t="str">
        <x:f aca="0">IF(C15="","",IF(C15="Không","Đúng","Chưa đúng"))</x:f>
        <x:v>Đúng</x:v>
      </x:c>
      <x:c r="E15" s="7" t="s">
        <x:v>188</x:v>
      </x:c>
    </x:row>
    <x:row r="16" ht="48" hidden="0" customHeight="1">
      <x:c r="A16" s="8" t="s">
        <x:v>248</x:v>
      </x:c>
      <x:c r="B16" s="7" t="s">
        <x:v>249</x:v>
      </x:c>
      <x:c r="C16" s="10" t="n">
        <x:v>36</x:v>
      </x:c>
      <x:c r="D16" s="11" t="str">
        <x:f aca="0">IF(C16="","",IF(ISNUMBER(C16),IF(ABS(C16-36)&lt;=0.01,"Đúng","Chưa đúng"),"Gõ một số"))</x:f>
        <x:v>Đúng</x:v>
      </x:c>
      <x:c r="E16" s="7" t="s">
        <x:v>250</x:v>
      </x:c>
    </x:row>
    <x:row r="17" ht="18" hidden="0" customHeight="1">
      <x:c r="A17" s="8" t="s">
        <x:v>251</x:v>
      </x:c>
      <x:c r="B17" s="7" t="s">
        <x:v>252</x:v>
      </x:c>
      <x:c r="C17" s="10" t="n">
        <x:v>24</x:v>
      </x:c>
      <x:c r="D17" s="11" t="str">
        <x:f aca="0">IF(C17="","",IF(ISNUMBER(C17),IF(ABS(C17-24)&lt;=0.01,"Đúng","Chưa đúng"),"Gõ một số"))</x:f>
        <x:v>Đúng</x:v>
      </x:c>
      <x:c r="E17" s="7" t="s">
        <x:v>250</x:v>
      </x:c>
    </x:row>
    <x:row r="18" ht="33" hidden="0" customHeight="1">
      <x:c r="A18" s="8" t="s">
        <x:v>253</x:v>
      </x:c>
      <x:c r="B18" s="7" t="s">
        <x:v>254</x:v>
      </x:c>
      <x:c r="C18" s="10" t="n">
        <x:v>48</x:v>
      </x:c>
      <x:c r="D18" s="11" t="str">
        <x:f aca="0">IF(C18="","",IF(ISNUMBER(C18),IF(ABS(C18-48)&lt;=0.01,"Đúng","Chưa đúng"),"Gõ một số"))</x:f>
        <x:v>Đúng</x:v>
      </x:c>
      <x:c r="E18" s="7" t="s">
        <x:v>250</x:v>
      </x:c>
    </x:row>
    <x:row r="19" ht="33" hidden="0" customHeight="1">
      <x:c r="A19" s="8" t="s">
        <x:v>255</x:v>
      </x:c>
      <x:c r="B19" s="7" t="s">
        <x:v>256</x:v>
      </x:c>
      <x:c r="C19" s="13" t="str">
        <x:v>Đại diện</x:v>
      </x:c>
      <x:c r="D19" s="11" t="str">
        <x:f aca="0">IF(C19="","",IF(C19="Đại diện","Đúng","Chưa đúng"))</x:f>
        <x:v>Đúng</x:v>
      </x:c>
      <x:c r="E19" s="7" t="s">
        <x:v>257</x:v>
      </x:c>
    </x:row>
    <x:row r="20" ht="33" hidden="0" customHeight="1">
      <x:c r="A20" s="8" t="s">
        <x:v>258</x:v>
      </x:c>
      <x:c r="B20" s="7" t="s">
        <x:v>259</x:v>
      </x:c>
      <x:c r="C20" s="13" t="str">
        <x:v>Thử thách</x:v>
      </x:c>
      <x:c r="D20" s="11" t="str">
        <x:f aca="0">IF(C20="","",IF(C20="Thử thách","Đúng","Chưa đúng"))</x:f>
        <x:v>Đúng</x:v>
      </x:c>
      <x:c r="E20" s="7" t="s">
        <x:v>257</x:v>
      </x:c>
    </x:row>
    <x:row r="21" ht="33" hidden="0" customHeight="1">
      <x:c r="A21" s="8" t="s">
        <x:v>260</x:v>
      </x:c>
      <x:c r="B21" s="7" t="s">
        <x:v>261</x:v>
      </x:c>
      <x:c r="C21" s="13" t="str">
        <x:v>Thử thách</x:v>
      </x:c>
      <x:c r="D21" s="11" t="str">
        <x:f aca="0">IF(C21="","",IF(C21="Thử thách","Đúng","Chưa đúng"))</x:f>
        <x:v>Đúng</x:v>
      </x:c>
      <x:c r="E21" s="7" t="s">
        <x:v>257</x:v>
      </x:c>
    </x:row>
    <x:row r="22" ht="48" hidden="0" customHeight="1">
      <x:c r="A22" s="8" t="s">
        <x:v>262</x:v>
      </x:c>
      <x:c r="B22" s="7" t="s">
        <x:v>263</x:v>
      </x:c>
      <x:c r="C22" s="13" t="str">
        <x:v>Hồi quy nghiêm trọng</x:v>
      </x:c>
      <x:c r="D22" s="11" t="str">
        <x:f aca="0">IF(C22="","",IF(C22="Hồi quy nghiêm trọng","Đúng","Chưa đúng"))</x:f>
        <x:v>Đúng</x:v>
      </x:c>
      <x:c r="E22" s="7" t="s">
        <x:v>257</x:v>
      </x:c>
    </x:row>
    <x:row r="23" ht="18" hidden="0" customHeight="1">
      <x:c r="A23" s="8" t="s">
        <x:v>264</x:v>
      </x:c>
      <x:c r="B23" s="7" t="s">
        <x:v>265</x:v>
      </x:c>
      <x:c r="C23" s="13" t="str">
        <x:v>B</x:v>
      </x:c>
      <x:c r="D23" s="11" t="str">
        <x:f aca="0">IF(C23="","",IF(C23="B","Đúng","Chưa đúng"))</x:f>
        <x:v>Đúng</x:v>
      </x:c>
      <x:c r="E23" s="7" t="s">
        <x:v>185</x:v>
      </x:c>
    </x:row>
    <x:row r="25" ht="18" hidden="0" customHeight="1">
      <x:c r="A25" s="8" t="s">
        <x:v>230</x:v>
      </x:c>
      <x:c r="B25" s="8"/>
      <x:c r="C25" s="14" t="n">
        <x:f aca="0">COUNTIF(D10:D23,"Đúng")</x:f>
        <x:v>14</x:v>
      </x:c>
      <x:c r="D25" s="7" t="s">
        <x:v>266</x:v>
      </x:c>
    </x:row>
  </x:sheetData>
  <x:mergeCells>
    <x:mergeCell ref="A2:E2"/>
    <x:mergeCell ref="A4:E4"/>
    <x:mergeCell ref="A5:E5"/>
    <x:mergeCell ref="A7:E7"/>
    <x:mergeCell ref="A25:B25"/>
  </x:mergeCells>
  <x:dataValidations count="11">
    <x:dataValidation type="list" errorStyle="stop" operator="between" allowBlank="1" showDropDown="0" showInputMessage="0" showErrorMessage="0" sqref="C10">
      <x:formula1>_ds!$A$1:$A$2</x:formula1>
      <x:formula2>0</x:formula2>
    </x:dataValidation>
    <x:dataValidation type="list" errorStyle="stop" operator="between" allowBlank="1" showDropDown="0" showInputMessage="0" showErrorMessage="0" sqref="C11">
      <x:formula1>_ds!$A$1:$A$2</x:formula1>
      <x:formula2>0</x:formula2>
    </x:dataValidation>
    <x:dataValidation type="list" errorStyle="stop" operator="between" allowBlank="1" showDropDown="0" showInputMessage="0" showErrorMessage="0" sqref="C12">
      <x:formula1>_ds!$A$1:$A$2</x:formula1>
      <x:formula2>0</x:formula2>
    </x:dataValidation>
    <x:dataValidation type="list" errorStyle="stop" operator="between" allowBlank="1" showDropDown="0" showInputMessage="0" showErrorMessage="0" sqref="C13">
      <x:formula1>_ds!$A$1:$A$2</x:formula1>
      <x:formula2>0</x:formula2>
    </x:dataValidation>
    <x:dataValidation type="list" errorStyle="stop" operator="between" allowBlank="1" showDropDown="0" showInputMessage="0" showErrorMessage="0" sqref="C14">
      <x:formula1>_ds!$A$1:$A$2</x:formula1>
      <x:formula2>0</x:formula2>
    </x:dataValidation>
    <x:dataValidation type="list" errorStyle="stop" operator="between" allowBlank="1" showDropDown="0" showInputMessage="0" showErrorMessage="0" sqref="C15">
      <x:formula1>_ds!$A$1:$A$2</x:formula1>
      <x:formula2>0</x:formula2>
    </x:dataValidation>
    <x:dataValidation type="list" errorStyle="stop" operator="between" allowBlank="1" showDropDown="0" showInputMessage="0" showErrorMessage="0" sqref="C19">
      <x:formula1>_ds!$E$1:$E$3</x:formula1>
      <x:formula2>0</x:formula2>
    </x:dataValidation>
    <x:dataValidation type="list" errorStyle="stop" operator="between" allowBlank="1" showDropDown="0" showInputMessage="0" showErrorMessage="0" sqref="C20">
      <x:formula1>_ds!$E$1:$E$3</x:formula1>
      <x:formula2>0</x:formula2>
    </x:dataValidation>
    <x:dataValidation type="list" errorStyle="stop" operator="between" allowBlank="1" showDropDown="0" showInputMessage="0" showErrorMessage="0" sqref="C21">
      <x:formula1>_ds!$E$1:$E$3</x:formula1>
      <x:formula2>0</x:formula2>
    </x:dataValidation>
    <x:dataValidation type="list" errorStyle="stop" operator="between" allowBlank="1" showDropDown="0" showInputMessage="0" showErrorMessage="0" sqref="C22">
      <x:formula1>_ds!$E$1:$E$3</x:formula1>
      <x:formula2>0</x:formula2>
    </x:dataValidation>
    <x:dataValidation type="list" errorStyle="stop" operator="between" allowBlank="1" showDropDown="0" showInputMessage="0" showErrorMessage="0" sqref="C23">
      <x:formula1>_ds!$B$1:$B$3</x:formula1>
      <x:formula2>0</x:formula2>
    </x:dataValidation>
  </x:dataValidations>
  <x:pageMargins left="0.7" right="0.7" top="0.75" bottom="0.75" header="0.3" footer="0.3"/>
</x:worksheet>
</file>

<file path=xl/worksheets/sheet5.xml><?xml version="1.0" encoding="utf-8"?>
<x:worksheet xmlns:x="http://schemas.openxmlformats.org/spreadsheetml/2006/main">
  <x:sheetViews>
    <x:sheetView showGridLines="1" workbookViewId="0"/>
  </x:sheetViews>
  <x:sheetFormatPr defaultColWidth="8.6796875" defaultRowHeight="15"/>
  <x:cols>
    <x:col min="1" max="1" width="7" hidden="0" customWidth="1"/>
    <x:col min="2" max="2" width="70" hidden="0" customWidth="1"/>
    <x:col min="3" max="3" width="22" hidden="0" customWidth="1"/>
    <x:col min="4" max="4" width="14" hidden="0" customWidth="1"/>
    <x:col min="5" max="5" width="13" hidden="0" customWidth="1"/>
  </x:cols>
  <x:sheetData>
    <x:row r="1" ht="17.350000381469727" hidden="0">
      <x:c r="A1" s="1" t="s">
        <x:v>267</x:v>
      </x:c>
    </x:row>
    <x:row r="2" ht="18" hidden="0" customHeight="1">
      <x:c r="A2" s="2" t="s">
        <x:v>192</x:v>
      </x:c>
      <x:c r="B2" s="2"/>
      <x:c r="C2" s="2"/>
      <x:c r="D2" s="2"/>
      <x:c r="E2" s="2"/>
    </x:row>
    <x:row r="4" ht="33" hidden="0" customHeight="1">
      <x:c r="A4" s="4" t="s">
        <x:v>268</x:v>
      </x:c>
      <x:c r="B4" s="4"/>
      <x:c r="C4" s="4"/>
      <x:c r="D4" s="4"/>
      <x:c r="E4" s="4"/>
    </x:row>
    <x:row r="5" ht="18" hidden="0" customHeight="1">
      <x:c r="A5" s="4" t="s">
        <x:v>269</x:v>
      </x:c>
      <x:c r="B5" s="4"/>
      <x:c r="C5" s="4"/>
      <x:c r="D5" s="4"/>
      <x:c r="E5" s="4"/>
    </x:row>
    <x:row r="7" ht="18" hidden="0" customHeight="1">
      <x:c r="A7" s="6" t="s">
        <x:v>270</x:v>
      </x:c>
      <x:c r="B7" s="6" t="s">
        <x:v>271</x:v>
      </x:c>
      <x:c r="C7" s="6"/>
      <x:c r="D7" s="6"/>
      <x:c r="E7" s="6"/>
    </x:row>
    <x:row r="8" ht="18" hidden="0" customHeight="1">
      <x:c r="A8" s="8" t="s">
        <x:v>272</x:v>
      </x:c>
      <x:c r="B8" s="7" t="s">
        <x:v>273</x:v>
      </x:c>
      <x:c r="C8" s="7"/>
      <x:c r="D8" s="7"/>
      <x:c r="E8" s="7"/>
    </x:row>
    <x:row r="9" ht="18" hidden="0" customHeight="1">
      <x:c r="A9" s="8"/>
      <x:c r="B9" s="7" t="s">
        <x:v>274</x:v>
      </x:c>
      <x:c r="C9" s="7"/>
      <x:c r="D9" s="7"/>
      <x:c r="E9" s="7"/>
    </x:row>
    <x:row r="10" ht="18" hidden="0" customHeight="1">
      <x:c r="A10" s="8"/>
      <x:c r="B10" s="7" t="s">
        <x:v>275</x:v>
      </x:c>
      <x:c r="C10" s="7"/>
      <x:c r="D10" s="7"/>
      <x:c r="E10" s="7"/>
    </x:row>
    <x:row r="11" ht="18" hidden="0" customHeight="1">
      <x:c r="A11" s="8"/>
      <x:c r="B11" s="7" t="s">
        <x:v>276</x:v>
      </x:c>
      <x:c r="C11" s="7"/>
      <x:c r="D11" s="7"/>
      <x:c r="E11" s="7"/>
    </x:row>
    <x:row r="12" ht="18" hidden="0" customHeight="1">
      <x:c r="A12" s="8"/>
      <x:c r="B12" s="7" t="s">
        <x:v>277</x:v>
      </x:c>
      <x:c r="C12" s="7"/>
      <x:c r="D12" s="7"/>
      <x:c r="E12" s="7"/>
    </x:row>
    <x:row r="13" ht="18" hidden="0" customHeight="1">
      <x:c r="A13" s="8" t="s">
        <x:v>278</x:v>
      </x:c>
      <x:c r="B13" s="7" t="s">
        <x:v>279</x:v>
      </x:c>
      <x:c r="C13" s="7"/>
      <x:c r="D13" s="7"/>
      <x:c r="E13" s="7"/>
    </x:row>
    <x:row r="14" ht="18" hidden="0" customHeight="1">
      <x:c r="A14" s="8"/>
      <x:c r="B14" s="7" t="s">
        <x:v>280</x:v>
      </x:c>
      <x:c r="C14" s="7"/>
      <x:c r="D14" s="7"/>
      <x:c r="E14" s="7"/>
    </x:row>
    <x:row r="15" ht="18" hidden="0" customHeight="1">
      <x:c r="A15" s="8"/>
      <x:c r="B15" s="7" t="s">
        <x:v>281</x:v>
      </x:c>
      <x:c r="C15" s="7"/>
      <x:c r="D15" s="7"/>
      <x:c r="E15" s="7"/>
    </x:row>
    <x:row r="16" ht="18" hidden="0" customHeight="1">
      <x:c r="A16" s="8"/>
      <x:c r="B16" s="7" t="s">
        <x:v>282</x:v>
      </x:c>
      <x:c r="C16" s="7"/>
      <x:c r="D16" s="7"/>
      <x:c r="E16" s="7"/>
    </x:row>
    <x:row r="17" ht="18" hidden="0" customHeight="1">
      <x:c r="A17" s="8" t="s">
        <x:v>283</x:v>
      </x:c>
      <x:c r="B17" s="7" t="s">
        <x:v>284</x:v>
      </x:c>
      <x:c r="C17" s="7"/>
      <x:c r="D17" s="7"/>
      <x:c r="E17" s="7"/>
    </x:row>
    <x:row r="18" ht="18" hidden="0" customHeight="1">
      <x:c r="A18" s="8"/>
      <x:c r="B18" s="7" t="s">
        <x:v>285</x:v>
      </x:c>
      <x:c r="C18" s="7"/>
      <x:c r="D18" s="7"/>
      <x:c r="E18" s="7"/>
    </x:row>
    <x:row r="19" ht="18" hidden="0" customHeight="1">
      <x:c r="A19" s="8"/>
      <x:c r="B19" s="7" t="s">
        <x:v>286</x:v>
      </x:c>
      <x:c r="C19" s="7"/>
      <x:c r="D19" s="7"/>
      <x:c r="E19" s="7"/>
    </x:row>
    <x:row r="20" ht="18" hidden="0" customHeight="1">
      <x:c r="A20" s="8"/>
      <x:c r="B20" s="7" t="s">
        <x:v>287</x:v>
      </x:c>
      <x:c r="C20" s="7"/>
      <x:c r="D20" s="7"/>
      <x:c r="E20" s="7"/>
    </x:row>
    <x:row r="21" ht="18" hidden="0" customHeight="1">
      <x:c r="A21" s="8" t="s">
        <x:v>288</x:v>
      </x:c>
      <x:c r="B21" s="7" t="s">
        <x:v>289</x:v>
      </x:c>
      <x:c r="C21" s="7"/>
      <x:c r="D21" s="7"/>
      <x:c r="E21" s="7"/>
    </x:row>
    <x:row r="22" ht="18" hidden="0" customHeight="1">
      <x:c r="A22" s="8"/>
      <x:c r="B22" s="7" t="s">
        <x:v>290</x:v>
      </x:c>
      <x:c r="C22" s="7"/>
      <x:c r="D22" s="7"/>
      <x:c r="E22" s="7"/>
    </x:row>
    <x:row r="23" ht="18" hidden="0" customHeight="1">
      <x:c r="A23" s="8"/>
      <x:c r="B23" s="7" t="s">
        <x:v>291</x:v>
      </x:c>
      <x:c r="C23" s="7"/>
      <x:c r="D23" s="7"/>
      <x:c r="E23" s="7"/>
    </x:row>
    <x:row r="24" ht="18" hidden="0" customHeight="1">
      <x:c r="A24" s="8"/>
      <x:c r="B24" s="7" t="s">
        <x:v>292</x:v>
      </x:c>
      <x:c r="C24" s="7"/>
      <x:c r="D24" s="7"/>
      <x:c r="E24" s="7"/>
    </x:row>
    <x:row r="26" ht="33" hidden="0" customHeight="1">
      <x:c r="A26" s="4" t="s">
        <x:v>293</x:v>
      </x:c>
      <x:c r="B26" s="4"/>
      <x:c r="C26" s="4"/>
      <x:c r="D26" s="4"/>
      <x:c r="E26" s="4"/>
    </x:row>
    <x:row r="28" ht="18" hidden="0" customHeight="1">
      <x:c r="A28" s="6" t="s">
        <x:v>207</x:v>
      </x:c>
      <x:c r="B28" s="6" t="s">
        <x:v>208</x:v>
      </x:c>
      <x:c r="C28" s="6" t="s">
        <x:v>209</x:v>
      </x:c>
      <x:c r="D28" s="6" t="s">
        <x:v>210</x:v>
      </x:c>
      <x:c r="E28" s="6" t="s">
        <x:v>211</x:v>
      </x:c>
    </x:row>
    <x:row r="29" ht="18" hidden="0" customHeight="1">
      <x:c r="A29" s="8" t="s">
        <x:v>294</x:v>
      </x:c>
      <x:c r="B29" s="7" t="s">
        <x:v>295</x:v>
      </x:c>
      <x:c r="C29" s="10" t="n">
        <x:v>2</x:v>
      </x:c>
      <x:c r="D29" s="11" t="str">
        <x:f aca="0">IF(C29="","",IF(ISNUMBER(C29),IF(ABS(C29-2)&lt;=0.01,"Đúng","Chưa đúng"),"Gõ một số"))</x:f>
        <x:v>Đúng</x:v>
      </x:c>
      <x:c r="E29" s="7" t="s">
        <x:v>296</x:v>
      </x:c>
    </x:row>
    <x:row r="30" ht="33" hidden="0" customHeight="1">
      <x:c r="A30" s="8" t="s">
        <x:v>297</x:v>
      </x:c>
      <x:c r="B30" s="7" t="s">
        <x:v>298</x:v>
      </x:c>
      <x:c r="C30" s="13" t="str">
        <x:v>wrong_intent</x:v>
      </x:c>
      <x:c r="D30" s="11" t="str">
        <x:f aca="0">IF(C30="","",IF(C30="wrong_intent","Đúng","Chưa đúng"))</x:f>
        <x:v>Đúng</x:v>
      </x:c>
      <x:c r="E30" s="7" t="s">
        <x:v>299</x:v>
      </x:c>
    </x:row>
    <x:row r="31" ht="18" hidden="0" customHeight="1">
      <x:c r="A31" s="8" t="s">
        <x:v>300</x:v>
      </x:c>
      <x:c r="B31" s="7" t="s">
        <x:v>301</x:v>
      </x:c>
      <x:c r="C31" s="10" t="n">
        <x:v>3</x:v>
      </x:c>
      <x:c r="D31" s="11" t="str">
        <x:f aca="0">IF(C31="","",IF(ISNUMBER(C31),IF(ABS(C31-3)&lt;=0.01,"Đúng","Chưa đúng"),"Gõ một số"))</x:f>
        <x:v>Đúng</x:v>
      </x:c>
      <x:c r="E31" s="7" t="s">
        <x:v>296</x:v>
      </x:c>
    </x:row>
    <x:row r="32" ht="33" hidden="0" customHeight="1">
      <x:c r="A32" s="8" t="s">
        <x:v>302</x:v>
      </x:c>
      <x:c r="B32" s="7" t="s">
        <x:v>303</x:v>
      </x:c>
      <x:c r="C32" s="13" t="str">
        <x:v>missing_lookup</x:v>
      </x:c>
      <x:c r="D32" s="11" t="str">
        <x:f aca="0">IF(C32="","",IF(C32="missing_lookup","Đúng","Chưa đúng"))</x:f>
        <x:v>Đúng</x:v>
      </x:c>
      <x:c r="E32" s="7" t="s">
        <x:v>299</x:v>
      </x:c>
    </x:row>
    <x:row r="33" ht="18" hidden="0" customHeight="1">
      <x:c r="A33" s="8" t="s">
        <x:v>304</x:v>
      </x:c>
      <x:c r="B33" s="7" t="s">
        <x:v>305</x:v>
      </x:c>
      <x:c r="C33" s="10" t="n">
        <x:v>4</x:v>
      </x:c>
      <x:c r="D33" s="11" t="str">
        <x:f aca="0">IF(C33="","",IF(ISNUMBER(C33),IF(ABS(C33-4)&lt;=0.01,"Đúng","Chưa đúng"),"Gõ một số"))</x:f>
        <x:v>Đúng</x:v>
      </x:c>
      <x:c r="E33" s="7" t="s">
        <x:v>296</x:v>
      </x:c>
    </x:row>
    <x:row r="34" ht="33" hidden="0" customHeight="1">
      <x:c r="A34" s="8" t="s">
        <x:v>306</x:v>
      </x:c>
      <x:c r="B34" s="7" t="s">
        <x:v>307</x:v>
      </x:c>
      <x:c r="C34" s="13" t="str">
        <x:v>missing_escalation</x:v>
      </x:c>
      <x:c r="D34" s="11" t="str">
        <x:f aca="0">IF(C34="","",IF(C34="missing_escalation","Đúng","Chưa đúng"))</x:f>
        <x:v>Đúng</x:v>
      </x:c>
      <x:c r="E34" s="7" t="s">
        <x:v>299</x:v>
      </x:c>
    </x:row>
    <x:row r="35" ht="18" hidden="0" customHeight="1">
      <x:c r="A35" s="8" t="s">
        <x:v>308</x:v>
      </x:c>
      <x:c r="B35" s="7" t="s">
        <x:v>309</x:v>
      </x:c>
      <x:c r="C35" s="10" t="n">
        <x:v>4</x:v>
      </x:c>
      <x:c r="D35" s="11" t="str">
        <x:f aca="0">IF(C35="","",IF(ISNUMBER(C35),IF(ABS(C35-4)&lt;=0.01,"Đúng","Chưa đúng"),"Gõ một số"))</x:f>
        <x:v>Đúng</x:v>
      </x:c>
      <x:c r="E35" s="7" t="s">
        <x:v>296</x:v>
      </x:c>
    </x:row>
    <x:row r="36" ht="33" hidden="0" customHeight="1">
      <x:c r="A36" s="8" t="s">
        <x:v>310</x:v>
      </x:c>
      <x:c r="B36" s="7" t="s">
        <x:v>311</x:v>
      </x:c>
      <x:c r="C36" s="13" t="str">
        <x:v>no_next_step</x:v>
      </x:c>
      <x:c r="D36" s="11" t="str">
        <x:f aca="0">IF(C36="","",IF(C36="no_next_step","Đúng","Chưa đúng"))</x:f>
        <x:v>Đúng</x:v>
      </x:c>
      <x:c r="E36" s="7" t="s">
        <x:v>299</x:v>
      </x:c>
    </x:row>
    <x:row r="37" ht="18" hidden="0" customHeight="1">
      <x:c r="A37" s="8" t="s">
        <x:v>312</x:v>
      </x:c>
      <x:c r="B37" s="7" t="s">
        <x:v>313</x:v>
      </x:c>
      <x:c r="C37" s="13" t="str">
        <x:v>A</x:v>
      </x:c>
      <x:c r="D37" s="11" t="str">
        <x:f aca="0">IF(C37="","",IF(C37="A","Đúng","Chưa đúng"))</x:f>
        <x:v>Đúng</x:v>
      </x:c>
      <x:c r="E37" s="7" t="s">
        <x:v>314</x:v>
      </x:c>
    </x:row>
    <x:row r="39" ht="18" hidden="0" customHeight="1">
      <x:c r="A39" s="8" t="s">
        <x:v>230</x:v>
      </x:c>
      <x:c r="B39" s="8"/>
      <x:c r="C39" s="14" t="n">
        <x:f aca="0">COUNTIF(D29:D37,"Đúng")</x:f>
        <x:v>9</x:v>
      </x:c>
      <x:c r="D39" s="7" t="s">
        <x:v>231</x:v>
      </x:c>
    </x:row>
  </x:sheetData>
  <x:mergeCells>
    <x:mergeCell ref="A2:E2"/>
    <x:mergeCell ref="A4:E4"/>
    <x:mergeCell ref="A5:E5"/>
    <x:mergeCell ref="B7:E7"/>
    <x:mergeCell ref="B8:E8"/>
    <x:mergeCell ref="B9:E9"/>
    <x:mergeCell ref="B10:E10"/>
    <x:mergeCell ref="B11:E11"/>
    <x:mergeCell ref="B12:E12"/>
    <x:mergeCell ref="B13:E13"/>
    <x:mergeCell ref="B14:E14"/>
    <x:mergeCell ref="B15:E15"/>
    <x:mergeCell ref="B16:E16"/>
    <x:mergeCell ref="B17:E17"/>
    <x:mergeCell ref="B18:E18"/>
    <x:mergeCell ref="B19:E19"/>
    <x:mergeCell ref="B20:E20"/>
    <x:mergeCell ref="B21:E21"/>
    <x:mergeCell ref="B22:E22"/>
    <x:mergeCell ref="B23:E23"/>
    <x:mergeCell ref="B24:E24"/>
    <x:mergeCell ref="A26:E26"/>
    <x:mergeCell ref="A39:B39"/>
  </x:mergeCells>
  <x:dataValidations count="5">
    <x:dataValidation type="list" errorStyle="stop" operator="between" allowBlank="1" showDropDown="0" showInputMessage="0" showErrorMessage="0" sqref="C30">
      <x:formula1>_ds!$F$1:$F$5</x:formula1>
      <x:formula2>0</x:formula2>
    </x:dataValidation>
    <x:dataValidation type="list" errorStyle="stop" operator="between" allowBlank="1" showDropDown="0" showInputMessage="0" showErrorMessage="0" sqref="C32">
      <x:formula1>_ds!$F$1:$F$5</x:formula1>
      <x:formula2>0</x:formula2>
    </x:dataValidation>
    <x:dataValidation type="list" errorStyle="stop" operator="between" allowBlank="1" showDropDown="0" showInputMessage="0" showErrorMessage="0" sqref="C34">
      <x:formula1>_ds!$F$1:$F$5</x:formula1>
      <x:formula2>0</x:formula2>
    </x:dataValidation>
    <x:dataValidation type="list" errorStyle="stop" operator="between" allowBlank="1" showDropDown="0" showInputMessage="0" showErrorMessage="0" sqref="C36">
      <x:formula1>_ds!$F$1:$F$5</x:formula1>
      <x:formula2>0</x:formula2>
    </x:dataValidation>
    <x:dataValidation type="list" errorStyle="stop" operator="between" allowBlank="1" showDropDown="0" showInputMessage="0" showErrorMessage="0" sqref="C37">
      <x:formula1>_ds!$B$1:$B$3</x:formula1>
      <x:formula2>0</x:formula2>
    </x:dataValidation>
  </x:dataValidations>
  <x:pageMargins left="0.7" right="0.7" top="0.75" bottom="0.75" header="0.3" footer="0.3"/>
</x:worksheet>
</file>

<file path=xl/worksheets/sheet6.xml><?xml version="1.0" encoding="utf-8"?>
<x:worksheet xmlns:x="http://schemas.openxmlformats.org/spreadsheetml/2006/main">
  <x:sheetViews>
    <x:sheetView showGridLines="1" workbookViewId="0"/>
  </x:sheetViews>
  <x:sheetFormatPr defaultColWidth="8.6796875" defaultRowHeight="15"/>
  <x:cols>
    <x:col min="1" max="1" width="7" hidden="0" customWidth="1"/>
    <x:col min="2" max="2" width="70" hidden="0" customWidth="1"/>
    <x:col min="3" max="3" width="22" hidden="0" customWidth="1"/>
    <x:col min="4" max="4" width="14" hidden="0" customWidth="1"/>
    <x:col min="5" max="5" width="13" hidden="0" customWidth="1"/>
  </x:cols>
  <x:sheetData>
    <x:row r="1" ht="17.350000381469727" hidden="0">
      <x:c r="A1" s="1" t="s">
        <x:v>315</x:v>
      </x:c>
    </x:row>
    <x:row r="2" ht="18" hidden="0" customHeight="1">
      <x:c r="A2" s="2" t="s">
        <x:v>192</x:v>
      </x:c>
      <x:c r="B2" s="2"/>
      <x:c r="C2" s="2"/>
      <x:c r="D2" s="2"/>
      <x:c r="E2" s="2"/>
    </x:row>
    <x:row r="4" ht="33" hidden="0" customHeight="1">
      <x:c r="A4" s="4" t="s">
        <x:v>316</x:v>
      </x:c>
      <x:c r="B4" s="4"/>
      <x:c r="C4" s="4"/>
      <x:c r="D4" s="4"/>
      <x:c r="E4" s="4"/>
    </x:row>
    <x:row r="5" ht="33" hidden="0" customHeight="1">
      <x:c r="A5" s="4" t="s">
        <x:v>317</x:v>
      </x:c>
      <x:c r="B5" s="4"/>
      <x:c r="C5" s="4"/>
      <x:c r="D5" s="4"/>
      <x:c r="E5" s="4"/>
    </x:row>
    <x:row r="6" ht="33" hidden="0" customHeight="1">
      <x:c r="A6" s="4" t="s">
        <x:v>318</x:v>
      </x:c>
      <x:c r="B6" s="4"/>
      <x:c r="C6" s="4"/>
      <x:c r="D6" s="4"/>
      <x:c r="E6" s="4"/>
    </x:row>
    <x:row r="8" ht="31.5" hidden="0" customHeight="1">
      <x:c r="A8" s="6" t="s">
        <x:v>319</x:v>
      </x:c>
      <x:c r="B8" s="6"/>
      <x:c r="C8" s="6" t="s">
        <x:v>320</x:v>
      </x:c>
      <x:c r="D8" s="6" t="s">
        <x:v>321</x:v>
      </x:c>
      <x:c r="E8" s="6" t="s">
        <x:v>322</x:v>
      </x:c>
    </x:row>
    <x:row r="9" ht="18" hidden="0" customHeight="1">
      <x:c r="A9" s="7" t="s">
        <x:v>323</x:v>
      </x:c>
      <x:c r="B9" s="7"/>
      <x:c r="C9" s="7" t="s">
        <x:v>324</x:v>
      </x:c>
      <x:c r="D9" s="7" t="s">
        <x:v>325</x:v>
      </x:c>
      <x:c r="E9" s="7" t="s">
        <x:v>326</x:v>
      </x:c>
    </x:row>
    <x:row r="10" ht="18" hidden="0" customHeight="1">
      <x:c r="A10" s="7" t="s">
        <x:v>327</x:v>
      </x:c>
      <x:c r="B10" s="7"/>
      <x:c r="C10" s="7" t="s">
        <x:v>328</x:v>
      </x:c>
      <x:c r="D10" s="7" t="s">
        <x:v>328</x:v>
      </x:c>
      <x:c r="E10" s="7" t="s">
        <x:v>328</x:v>
      </x:c>
    </x:row>
    <x:row r="11" ht="18" hidden="0" customHeight="1">
      <x:c r="A11" s="7" t="s">
        <x:v>329</x:v>
      </x:c>
      <x:c r="B11" s="7"/>
      <x:c r="C11" s="7" t="s">
        <x:v>330</x:v>
      </x:c>
      <x:c r="D11" s="7" t="s">
        <x:v>331</x:v>
      </x:c>
      <x:c r="E11" s="7" t="s">
        <x:v>332</x:v>
      </x:c>
    </x:row>
    <x:row r="12" ht="18" hidden="0" customHeight="1">
      <x:c r="A12" s="7" t="s">
        <x:v>333</x:v>
      </x:c>
      <x:c r="B12" s="7"/>
      <x:c r="C12" s="7" t="s">
        <x:v>334</x:v>
      </x:c>
      <x:c r="D12" s="7" t="s">
        <x:v>335</x:v>
      </x:c>
      <x:c r="E12" s="7" t="s">
        <x:v>336</x:v>
      </x:c>
    </x:row>
    <x:row r="14" ht="33" hidden="0" customHeight="1">
      <x:c r="A14" s="4" t="s">
        <x:v>337</x:v>
      </x:c>
      <x:c r="B14" s="4"/>
      <x:c r="C14" s="4"/>
      <x:c r="D14" s="4"/>
      <x:c r="E14" s="4"/>
    </x:row>
    <x:row r="16" ht="18" hidden="0" customHeight="1">
      <x:c r="A16" s="6" t="s">
        <x:v>207</x:v>
      </x:c>
      <x:c r="B16" s="6" t="s">
        <x:v>208</x:v>
      </x:c>
      <x:c r="C16" s="6" t="s">
        <x:v>209</x:v>
      </x:c>
      <x:c r="D16" s="6" t="s">
        <x:v>210</x:v>
      </x:c>
      <x:c r="E16" s="6" t="s">
        <x:v>211</x:v>
      </x:c>
    </x:row>
    <x:row r="17" ht="48" hidden="0" customHeight="1">
      <x:c r="A17" s="8" t="s">
        <x:v>338</x:v>
      </x:c>
      <x:c r="B17" s="7" t="s">
        <x:v>339</x:v>
      </x:c>
      <x:c r="C17" s="13" t="str">
        <x:v>Thiếu đặc tả → sửa câu lệnh</x:v>
      </x:c>
      <x:c r="D17" s="11" t="str">
        <x:f aca="0">IF(C17="","",IF(C17="Thiếu đặc tả → sửa câu lệnh","Đúng","Chưa đúng"))</x:f>
        <x:v>Đúng</x:v>
      </x:c>
      <x:c r="E17" s="7" t="s">
        <x:v>340</x:v>
      </x:c>
    </x:row>
    <x:row r="18" ht="48" hidden="0" customHeight="1">
      <x:c r="A18" s="8" t="s">
        <x:v>341</x:v>
      </x:c>
      <x:c r="B18" s="7" t="s">
        <x:v>342</x:v>
      </x:c>
      <x:c r="C18" s="13" t="str">
        <x:v>Thiếu năng lực hệ thống → sửa kỹ thuật</x:v>
      </x:c>
      <x:c r="D18" s="11" t="str">
        <x:f aca="0">IF(C18="","",IF(C18="Thiếu năng lực hệ thống → sửa kỹ thuật","Đúng","Chưa đúng"))</x:f>
        <x:v>Đúng</x:v>
      </x:c>
      <x:c r="E18" s="7" t="s">
        <x:v>340</x:v>
      </x:c>
    </x:row>
    <x:row r="19" ht="63" hidden="0" customHeight="1">
      <x:c r="A19" s="8" t="s">
        <x:v>343</x:v>
      </x:c>
      <x:c r="B19" s="7" t="s">
        <x:v>344</x:v>
      </x:c>
      <x:c r="C19" s="13" t="str">
        <x:v>Lúc được lúc không → viết bài đánh giá tự động</x:v>
      </x:c>
      <x:c r="D19" s="11" t="str">
        <x:f aca="0">IF(C19="","",IF(C19="Lúc được lúc không → viết bài đánh giá tự động","Đúng","Chưa đúng"))</x:f>
        <x:v>Đúng</x:v>
      </x:c>
      <x:c r="E19" s="7" t="s">
        <x:v>340</x:v>
      </x:c>
    </x:row>
    <x:row r="20" ht="33" hidden="0" customHeight="1">
      <x:c r="A20" s="8" t="s">
        <x:v>345</x:v>
      </x:c>
      <x:c r="B20" s="7" t="s">
        <x:v>346</x:v>
      </x:c>
      <x:c r="C20" s="13" t="str">
        <x:v>Mã lệnh</x:v>
      </x:c>
      <x:c r="D20" s="11" t="str">
        <x:f aca="0">IF(C20="","",IF(C20="Mã lệnh","Đúng","Chưa đúng"))</x:f>
        <x:v>Đúng</x:v>
      </x:c>
      <x:c r="E20" s="7" t="s">
        <x:v>347</x:v>
      </x:c>
    </x:row>
    <x:row r="21" ht="33" hidden="0" customHeight="1">
      <x:c r="A21" s="8" t="s">
        <x:v>348</x:v>
      </x:c>
      <x:c r="B21" s="7" t="s">
        <x:v>349</x:v>
      </x:c>
      <x:c r="C21" s="13" t="str">
        <x:v>Mã lệnh</x:v>
      </x:c>
      <x:c r="D21" s="11" t="str">
        <x:f aca="0">IF(C21="","",IF(C21="Mã lệnh","Đúng","Chưa đúng"))</x:f>
        <x:v>Đúng</x:v>
      </x:c>
      <x:c r="E21" s="7" t="s">
        <x:v>350</x:v>
      </x:c>
    </x:row>
    <x:row r="22" ht="33" hidden="0" customHeight="1">
      <x:c r="A22" s="8" t="s">
        <x:v>351</x:v>
      </x:c>
      <x:c r="B22" s="7" t="s">
        <x:v>352</x:v>
      </x:c>
      <x:c r="C22" s="13" t="str">
        <x:v>Mã lệnh</x:v>
      </x:c>
      <x:c r="D22" s="11" t="str">
        <x:f aca="0">IF(C22="","",IF(C22="Mã lệnh","Đúng","Chưa đúng"))</x:f>
        <x:v>Đúng</x:v>
      </x:c>
      <x:c r="E22" s="7" t="s">
        <x:v>353</x:v>
      </x:c>
    </x:row>
    <x:row r="23" ht="33" hidden="0" customHeight="1">
      <x:c r="A23" s="8" t="s">
        <x:v>354</x:v>
      </x:c>
      <x:c r="B23" s="7" t="s">
        <x:v>355</x:v>
      </x:c>
      <x:c r="C23" s="13" t="str">
        <x:v>Mã lệnh</x:v>
      </x:c>
      <x:c r="D23" s="11" t="str">
        <x:f aca="0">IF(C23="","",IF(C23="Mã lệnh","Đúng","Chưa đúng"))</x:f>
        <x:v>Đúng</x:v>
      </x:c>
      <x:c r="E23" s="7" t="s">
        <x:v>353</x:v>
      </x:c>
    </x:row>
    <x:row r="24" ht="33" hidden="0" customHeight="1">
      <x:c r="A24" s="8" t="s">
        <x:v>356</x:v>
      </x:c>
      <x:c r="B24" s="7" t="s">
        <x:v>357</x:v>
      </x:c>
      <x:c r="C24" s="13" t="str">
        <x:v>Giám khảo AI</x:v>
      </x:c>
      <x:c r="D24" s="11" t="str">
        <x:f aca="0">IF(C24="","",IF(C24="Giám khảo AI","Đúng","Chưa đúng"))</x:f>
        <x:v>Đúng</x:v>
      </x:c>
      <x:c r="E24" s="7" t="s">
        <x:v>347</x:v>
      </x:c>
    </x:row>
    <x:row r="25" ht="33" hidden="0" customHeight="1">
      <x:c r="A25" s="8" t="s">
        <x:v>358</x:v>
      </x:c>
      <x:c r="B25" s="7" t="s">
        <x:v>359</x:v>
      </x:c>
      <x:c r="C25" s="13" t="str">
        <x:v>Người quyết</x:v>
      </x:c>
      <x:c r="D25" s="11" t="str">
        <x:f aca="0">IF(C25="","",IF(C25="Người quyết","Đúng","Chưa đúng"))</x:f>
        <x:v>Đúng</x:v>
      </x:c>
      <x:c r="E25" s="7" t="s">
        <x:v>360</x:v>
      </x:c>
    </x:row>
    <x:row r="26" ht="33" hidden="0" customHeight="1">
      <x:c r="A26" s="8" t="s">
        <x:v>361</x:v>
      </x:c>
      <x:c r="B26" s="7" t="s">
        <x:v>362</x:v>
      </x:c>
      <x:c r="C26" s="13" t="str">
        <x:v>Đạt · đúng 1 nhãn</x:v>
      </x:c>
      <x:c r="D26" s="11" t="str">
        <x:f aca="0">IF(C26="","",IF(C26="Đạt · đúng 1 nhãn","Đúng","Chưa đúng"))</x:f>
        <x:v>Đúng</x:v>
      </x:c>
      <x:c r="E26" s="7" t="s">
        <x:v>363</x:v>
      </x:c>
    </x:row>
    <x:row r="27" ht="33" hidden="0" customHeight="1">
      <x:c r="A27" s="8" t="s">
        <x:v>364</x:v>
      </x:c>
      <x:c r="B27" s="7" t="s">
        <x:v>365</x:v>
      </x:c>
      <x:c r="C27" s="13" t="str">
        <x:v>Không đạt · không có nhãn hợp lệ</x:v>
      </x:c>
      <x:c r="D27" s="11" t="str">
        <x:f aca="0">IF(C27="","",IF(C27="Không đạt · không có nhãn hợp lệ","Đúng","Chưa đúng"))</x:f>
        <x:v>Đúng</x:v>
      </x:c>
      <x:c r="E27" s="7" t="s">
        <x:v>363</x:v>
      </x:c>
    </x:row>
    <x:row r="28" ht="33" hidden="0" customHeight="1">
      <x:c r="A28" s="8" t="s">
        <x:v>366</x:v>
      </x:c>
      <x:c r="B28" s="7" t="s">
        <x:v>367</x:v>
      </x:c>
      <x:c r="C28" s="13" t="str">
        <x:v>Không đạt · nhiều hơn 1 nhãn</x:v>
      </x:c>
      <x:c r="D28" s="11" t="str">
        <x:f aca="0">IF(C28="","",IF(C28="Không đạt · nhiều hơn 1 nhãn","Đúng","Chưa đúng"))</x:f>
        <x:v>Đúng</x:v>
      </x:c>
      <x:c r="E28" s="7" t="s">
        <x:v>363</x:v>
      </x:c>
    </x:row>
    <x:row r="29" ht="33" hidden="0" customHeight="1">
      <x:c r="A29" s="8" t="s">
        <x:v>368</x:v>
      </x:c>
      <x:c r="B29" s="7" t="s">
        <x:v>369</x:v>
      </x:c>
      <x:c r="C29" s="13" t="str">
        <x:v>B</x:v>
      </x:c>
      <x:c r="D29" s="11" t="str">
        <x:f aca="0">IF(C29="","",IF(C29="B","Đúng","Chưa đúng"))</x:f>
        <x:v>Đúng</x:v>
      </x:c>
      <x:c r="E29" s="7" t="s">
        <x:v>370</x:v>
      </x:c>
    </x:row>
    <x:row r="30" ht="33" hidden="0" customHeight="1">
      <x:c r="A30" s="8" t="s">
        <x:v>371</x:v>
      </x:c>
      <x:c r="B30" s="7" t="s">
        <x:v>372</x:v>
      </x:c>
      <x:c r="C30" s="13" t="str">
        <x:v>Lặp tiếp</x:v>
      </x:c>
      <x:c r="D30" s="11" t="str">
        <x:f aca="0">IF(C30="","",IF(C30="Lặp tiếp","Đúng","Chưa đúng"))</x:f>
        <x:v>Đúng</x:v>
      </x:c>
      <x:c r="E30" s="7" t="s">
        <x:v>373</x:v>
      </x:c>
    </x:row>
    <x:row r="31" ht="33" hidden="0" customHeight="1">
      <x:c r="A31" s="8" t="s">
        <x:v>374</x:v>
      </x:c>
      <x:c r="B31" s="7" t="s">
        <x:v>375</x:v>
      </x:c>
      <x:c r="C31" s="13" t="str">
        <x:v>Sửa câu lệnh</x:v>
      </x:c>
      <x:c r="D31" s="11" t="str">
        <x:f aca="0">IF(C31="","",IF(C31="Sửa câu lệnh","Đúng","Chưa đúng"))</x:f>
        <x:v>Đúng</x:v>
      </x:c>
      <x:c r="E31" s="7" t="s">
        <x:v>373</x:v>
      </x:c>
    </x:row>
    <x:row r="33" ht="18" hidden="0" customHeight="1">
      <x:c r="A33" s="8" t="s">
        <x:v>230</x:v>
      </x:c>
      <x:c r="B33" s="8"/>
      <x:c r="C33" s="14" t="n">
        <x:f aca="0">COUNTIF(D17:D31,"Đúng")</x:f>
        <x:v>15</x:v>
      </x:c>
      <x:c r="D33" s="7" t="s">
        <x:v>376</x:v>
      </x:c>
    </x:row>
  </x:sheetData>
  <x:mergeCells>
    <x:mergeCell ref="A2:E2"/>
    <x:mergeCell ref="A4:E4"/>
    <x:mergeCell ref="A5:E5"/>
    <x:mergeCell ref="A6:E6"/>
    <x:mergeCell ref="A8:B8"/>
    <x:mergeCell ref="A9:B9"/>
    <x:mergeCell ref="A10:B10"/>
    <x:mergeCell ref="A11:B11"/>
    <x:mergeCell ref="A12:B12"/>
    <x:mergeCell ref="A14:E14"/>
    <x:mergeCell ref="A33:B33"/>
  </x:mergeCells>
  <x:dataValidations count="15">
    <x:dataValidation type="list" errorStyle="stop" operator="between" allowBlank="1" showDropDown="0" showInputMessage="0" showErrorMessage="0" sqref="C17">
      <x:formula1>_ds!$G$1:$G$3</x:formula1>
      <x:formula2>0</x:formula2>
    </x:dataValidation>
    <x:dataValidation type="list" errorStyle="stop" operator="between" allowBlank="1" showDropDown="0" showInputMessage="0" showErrorMessage="0" sqref="C18">
      <x:formula1>_ds!$G$1:$G$3</x:formula1>
      <x:formula2>0</x:formula2>
    </x:dataValidation>
    <x:dataValidation type="list" errorStyle="stop" operator="between" allowBlank="1" showDropDown="0" showInputMessage="0" showErrorMessage="0" sqref="C19">
      <x:formula1>_ds!$G$1:$G$3</x:formula1>
      <x:formula2>0</x:formula2>
    </x:dataValidation>
    <x:dataValidation type="list" errorStyle="stop" operator="between" allowBlank="1" showDropDown="0" showInputMessage="0" showErrorMessage="0" sqref="C20">
      <x:formula1>_ds!$H$1:$H$3</x:formula1>
      <x:formula2>0</x:formula2>
    </x:dataValidation>
    <x:dataValidation type="list" errorStyle="stop" operator="between" allowBlank="1" showDropDown="0" showInputMessage="0" showErrorMessage="0" sqref="C21">
      <x:formula1>_ds!$H$1:$H$3</x:formula1>
      <x:formula2>0</x:formula2>
    </x:dataValidation>
    <x:dataValidation type="list" errorStyle="stop" operator="between" allowBlank="1" showDropDown="0" showInputMessage="0" showErrorMessage="0" sqref="C22">
      <x:formula1>_ds!$H$1:$H$3</x:formula1>
      <x:formula2>0</x:formula2>
    </x:dataValidation>
    <x:dataValidation type="list" errorStyle="stop" operator="between" allowBlank="1" showDropDown="0" showInputMessage="0" showErrorMessage="0" sqref="C23">
      <x:formula1>_ds!$H$1:$H$3</x:formula1>
      <x:formula2>0</x:formula2>
    </x:dataValidation>
    <x:dataValidation type="list" errorStyle="stop" operator="between" allowBlank="1" showDropDown="0" showInputMessage="0" showErrorMessage="0" sqref="C24">
      <x:formula1>_ds!$H$1:$H$3</x:formula1>
      <x:formula2>0</x:formula2>
    </x:dataValidation>
    <x:dataValidation type="list" errorStyle="stop" operator="between" allowBlank="1" showDropDown="0" showInputMessage="0" showErrorMessage="0" sqref="C25">
      <x:formula1>_ds!$H$1:$H$3</x:formula1>
      <x:formula2>0</x:formula2>
    </x:dataValidation>
    <x:dataValidation type="list" errorStyle="stop" operator="between" allowBlank="1" showDropDown="0" showInputMessage="0" showErrorMessage="0" sqref="C26">
      <x:formula1>_ds!$I$1:$I$3</x:formula1>
      <x:formula2>0</x:formula2>
    </x:dataValidation>
    <x:dataValidation type="list" errorStyle="stop" operator="between" allowBlank="1" showDropDown="0" showInputMessage="0" showErrorMessage="0" sqref="C27">
      <x:formula1>_ds!$I$1:$I$3</x:formula1>
      <x:formula2>0</x:formula2>
    </x:dataValidation>
    <x:dataValidation type="list" errorStyle="stop" operator="between" allowBlank="1" showDropDown="0" showInputMessage="0" showErrorMessage="0" sqref="C28">
      <x:formula1>_ds!$I$1:$I$3</x:formula1>
      <x:formula2>0</x:formula2>
    </x:dataValidation>
    <x:dataValidation type="list" errorStyle="stop" operator="between" allowBlank="1" showDropDown="0" showInputMessage="0" showErrorMessage="0" sqref="C29">
      <x:formula1>_ds!$B$1:$B$3</x:formula1>
      <x:formula2>0</x:formula2>
    </x:dataValidation>
    <x:dataValidation type="list" errorStyle="stop" operator="between" allowBlank="1" showDropDown="0" showInputMessage="0" showErrorMessage="0" sqref="C30">
      <x:formula1>_ds!$J$1:$J$3</x:formula1>
      <x:formula2>0</x:formula2>
    </x:dataValidation>
    <x:dataValidation type="list" errorStyle="stop" operator="between" allowBlank="1" showDropDown="0" showInputMessage="0" showErrorMessage="0" sqref="C31">
      <x:formula1>_ds!$K$1:$K$3</x:formula1>
      <x:formula2>0</x:formula2>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ColWidth="8.6796875" defaultRowHeight="15"/>
  <x:cols>
    <x:col min="1" max="1" width="7" hidden="0" customWidth="1"/>
    <x:col min="2" max="2" width="70" hidden="0" customWidth="1"/>
    <x:col min="3" max="3" width="22" hidden="0" customWidth="1"/>
    <x:col min="4" max="4" width="14" hidden="0" customWidth="1"/>
    <x:col min="5" max="5" width="13" hidden="0" customWidth="1"/>
  </x:cols>
  <x:sheetData>
    <x:row r="1" ht="17.350000381469727" hidden="0">
      <x:c r="A1" s="1" t="s">
        <x:v>377</x:v>
      </x:c>
    </x:row>
    <x:row r="2" ht="18" hidden="0" customHeight="1">
      <x:c r="A2" s="2" t="s">
        <x:v>192</x:v>
      </x:c>
      <x:c r="B2" s="2"/>
      <x:c r="C2" s="2"/>
      <x:c r="D2" s="2"/>
      <x:c r="E2" s="2"/>
    </x:row>
    <x:row r="4" ht="18" hidden="0" customHeight="1">
      <x:c r="A4" s="4" t="s">
        <x:v>378</x:v>
      </x:c>
      <x:c r="B4" s="4"/>
      <x:c r="C4" s="4"/>
      <x:c r="D4" s="4"/>
      <x:c r="E4" s="4"/>
    </x:row>
    <x:row r="5" ht="18" hidden="0" customHeight="1">
      <x:c r="A5" s="4" t="s">
        <x:v>379</x:v>
      </x:c>
      <x:c r="B5" s="4"/>
      <x:c r="C5" s="4"/>
      <x:c r="D5" s="4"/>
      <x:c r="E5" s="4"/>
    </x:row>
    <x:row r="6" ht="33" hidden="0" customHeight="1">
      <x:c r="A6" s="4" t="s">
        <x:v>380</x:v>
      </x:c>
      <x:c r="B6" s="4"/>
      <x:c r="C6" s="4"/>
      <x:c r="D6" s="4"/>
      <x:c r="E6" s="4"/>
    </x:row>
    <x:row r="8" ht="18" hidden="0" customHeight="1">
      <x:c r="A8" s="6" t="s">
        <x:v>381</x:v>
      </x:c>
      <x:c r="B8" s="6" t="s">
        <x:v>382</x:v>
      </x:c>
      <x:c r="C8" s="6" t="s">
        <x:v>383</x:v>
      </x:c>
    </x:row>
    <x:row r="9" ht="18" hidden="0" customHeight="1">
      <x:c r="A9" s="7" t="s">
        <x:v>90</x:v>
      </x:c>
      <x:c r="B9" s="7" t="s">
        <x:v>384</x:v>
      </x:c>
      <x:c r="C9" s="7" t="s">
        <x:v>384</x:v>
      </x:c>
    </x:row>
    <x:row r="10" ht="18" hidden="0" customHeight="1">
      <x:c r="A10" s="7" t="s">
        <x:v>93</x:v>
      </x:c>
      <x:c r="B10" s="7" t="s">
        <x:v>384</x:v>
      </x:c>
      <x:c r="C10" s="7" t="s">
        <x:v>384</x:v>
      </x:c>
    </x:row>
    <x:row r="11" ht="18" hidden="0" customHeight="1">
      <x:c r="A11" s="7" t="s">
        <x:v>96</x:v>
      </x:c>
      <x:c r="B11" s="7" t="s">
        <x:v>385</x:v>
      </x:c>
      <x:c r="C11" s="7" t="s">
        <x:v>384</x:v>
      </x:c>
    </x:row>
    <x:row r="12" ht="18" hidden="0" customHeight="1">
      <x:c r="A12" s="7" t="s">
        <x:v>109</x:v>
      </x:c>
      <x:c r="B12" s="7" t="s">
        <x:v>384</x:v>
      </x:c>
      <x:c r="C12" s="7" t="s">
        <x:v>384</x:v>
      </x:c>
    </x:row>
    <x:row r="13" ht="18" hidden="0" customHeight="1">
      <x:c r="A13" s="7" t="s">
        <x:v>112</x:v>
      </x:c>
      <x:c r="B13" s="7" t="s">
        <x:v>384</x:v>
      </x:c>
      <x:c r="C13" s="7" t="s">
        <x:v>385</x:v>
      </x:c>
    </x:row>
    <x:row r="14" ht="18" hidden="0" customHeight="1">
      <x:c r="A14" s="7" t="s">
        <x:v>128</x:v>
      </x:c>
      <x:c r="B14" s="7" t="s">
        <x:v>385</x:v>
      </x:c>
      <x:c r="C14" s="7" t="s">
        <x:v>385</x:v>
      </x:c>
    </x:row>
    <x:row r="15" ht="18" hidden="0" customHeight="1">
      <x:c r="A15" s="7" t="s">
        <x:v>131</x:v>
      </x:c>
      <x:c r="B15" s="7" t="s">
        <x:v>384</x:v>
      </x:c>
      <x:c r="C15" s="7" t="s">
        <x:v>384</x:v>
      </x:c>
    </x:row>
    <x:row r="16" ht="18" hidden="0" customHeight="1">
      <x:c r="A16" s="7" t="s">
        <x:v>134</x:v>
      </x:c>
      <x:c r="B16" s="7" t="s">
        <x:v>385</x:v>
      </x:c>
      <x:c r="C16" s="7" t="s">
        <x:v>384</x:v>
      </x:c>
    </x:row>
    <x:row r="17" ht="18" hidden="0" customHeight="1">
      <x:c r="A17" s="7" t="s">
        <x:v>137</x:v>
      </x:c>
      <x:c r="B17" s="7" t="s">
        <x:v>384</x:v>
      </x:c>
      <x:c r="C17" s="7" t="s">
        <x:v>384</x:v>
      </x:c>
    </x:row>
    <x:row r="18" ht="18" hidden="0" customHeight="1">
      <x:c r="A18" s="7" t="s">
        <x:v>140</x:v>
      </x:c>
      <x:c r="B18" s="7" t="s">
        <x:v>385</x:v>
      </x:c>
      <x:c r="C18" s="7" t="s">
        <x:v>385</x:v>
      </x:c>
    </x:row>
    <x:row r="19" ht="18" hidden="0" customHeight="1">
      <x:c r="A19" s="7" t="s">
        <x:v>143</x:v>
      </x:c>
      <x:c r="B19" s="7" t="s">
        <x:v>384</x:v>
      </x:c>
      <x:c r="C19" s="7" t="s">
        <x:v>384</x:v>
      </x:c>
    </x:row>
    <x:row r="20" ht="18" hidden="0" customHeight="1">
      <x:c r="A20" s="7" t="s">
        <x:v>146</x:v>
      </x:c>
      <x:c r="B20" s="7" t="s">
        <x:v>384</x:v>
      </x:c>
      <x:c r="C20" s="7" t="s">
        <x:v>384</x:v>
      </x:c>
    </x:row>
    <x:row r="22" ht="33" hidden="0" customHeight="1">
      <x:c r="A22" s="4" t="s">
        <x:v>386</x:v>
      </x:c>
      <x:c r="B22" s="4"/>
      <x:c r="C22" s="4"/>
      <x:c r="D22" s="4"/>
      <x:c r="E22" s="4"/>
    </x:row>
    <x:row r="24" ht="18" hidden="0" customHeight="1">
      <x:c r="A24" s="6" t="s">
        <x:v>207</x:v>
      </x:c>
      <x:c r="B24" s="6" t="s">
        <x:v>208</x:v>
      </x:c>
      <x:c r="C24" s="6" t="s">
        <x:v>209</x:v>
      </x:c>
      <x:c r="D24" s="6" t="s">
        <x:v>210</x:v>
      </x:c>
      <x:c r="E24" s="6" t="s">
        <x:v>211</x:v>
      </x:c>
    </x:row>
    <x:row r="25" ht="18" hidden="0" customHeight="1">
      <x:c r="A25" s="8" t="s">
        <x:v>387</x:v>
      </x:c>
      <x:c r="B25" s="7" t="s">
        <x:v>388</x:v>
      </x:c>
      <x:c r="C25" s="10" t="n">
        <x:v>8</x:v>
      </x:c>
      <x:c r="D25" s="11" t="str">
        <x:f aca="0">IF(C25="","",IF(ISNUMBER(C25),IF(ABS(C25-8)&lt;=0.01,"Đúng","Chưa đúng"),"Gõ một số"))</x:f>
        <x:v>Đúng</x:v>
      </x:c>
      <x:c r="E25" s="7" t="s">
        <x:v>389</x:v>
      </x:c>
    </x:row>
    <x:row r="26" ht="18" hidden="0" customHeight="1">
      <x:c r="A26" s="8" t="s">
        <x:v>390</x:v>
      </x:c>
      <x:c r="B26" s="7" t="s">
        <x:v>391</x:v>
      </x:c>
      <x:c r="C26" s="10" t="n">
        <x:v>9</x:v>
      </x:c>
      <x:c r="D26" s="11" t="str">
        <x:f aca="0">IF(C26="","",IF(ISNUMBER(C26),IF(ABS(C26-9)&lt;=0.01,"Đúng","Chưa đúng"),"Gõ một số"))</x:f>
        <x:v>Đúng</x:v>
      </x:c>
      <x:c r="E26" s="7" t="s">
        <x:v>389</x:v>
      </x:c>
    </x:row>
    <x:row r="27" ht="18" hidden="0" customHeight="1">
      <x:c r="A27" s="8" t="s">
        <x:v>392</x:v>
      </x:c>
      <x:c r="B27" s="7" t="s">
        <x:v>393</x:v>
      </x:c>
      <x:c r="C27" s="10" t="n">
        <x:v>9</x:v>
      </x:c>
      <x:c r="D27" s="11" t="str">
        <x:f aca="0">IF(C27="","",IF(ISNUMBER(C27),IF(ABS(C27-9)&lt;=0.01,"Đúng","Chưa đúng"),"Gõ một số"))</x:f>
        <x:v>Đúng</x:v>
      </x:c>
      <x:c r="E27" s="7" t="s">
        <x:v>389</x:v>
      </x:c>
    </x:row>
    <x:row r="28" ht="18" hidden="0" customHeight="1">
      <x:c r="A28" s="8" t="s">
        <x:v>394</x:v>
      </x:c>
      <x:c r="B28" s="7" t="s">
        <x:v>395</x:v>
      </x:c>
      <x:c r="C28" s="10" t="n">
        <x:v>7</x:v>
      </x:c>
      <x:c r="D28" s="11" t="str">
        <x:f aca="0">IF(C28="","",IF(ISNUMBER(C28),IF(ABS(C28-7)&lt;=0.01,"Đúng","Chưa đúng"),"Gõ một số"))</x:f>
        <x:v>Đúng</x:v>
      </x:c>
      <x:c r="E28" s="7" t="s">
        <x:v>389</x:v>
      </x:c>
    </x:row>
    <x:row r="29" ht="18" hidden="0" customHeight="1">
      <x:c r="A29" s="8" t="s">
        <x:v>396</x:v>
      </x:c>
      <x:c r="B29" s="7" t="s">
        <x:v>397</x:v>
      </x:c>
      <x:c r="C29" s="10" t="n">
        <x:v>2</x:v>
      </x:c>
      <x:c r="D29" s="11" t="str">
        <x:f aca="0">IF(C29="","",IF(ISNUMBER(C29),IF(ABS(C29-2)&lt;=0.01,"Đúng","Chưa đúng"),"Gõ một số"))</x:f>
        <x:v>Đúng</x:v>
      </x:c>
      <x:c r="E29" s="7" t="s">
        <x:v>389</x:v>
      </x:c>
    </x:row>
    <x:row r="30" ht="18" hidden="0" customHeight="1">
      <x:c r="A30" s="8" t="s">
        <x:v>398</x:v>
      </x:c>
      <x:c r="B30" s="7" t="s">
        <x:v>399</x:v>
      </x:c>
      <x:c r="C30" s="10" t="n">
        <x:v>1</x:v>
      </x:c>
      <x:c r="D30" s="11" t="str">
        <x:f aca="0">IF(C30="","",IF(ISNUMBER(C30),IF(ABS(C30-1)&lt;=0.01,"Đúng","Chưa đúng"),"Gõ một số"))</x:f>
        <x:v>Đúng</x:v>
      </x:c>
      <x:c r="E30" s="7" t="s">
        <x:v>389</x:v>
      </x:c>
    </x:row>
    <x:row r="31" ht="18" hidden="0" customHeight="1">
      <x:c r="A31" s="8" t="s">
        <x:v>400</x:v>
      </x:c>
      <x:c r="B31" s="7" t="s">
        <x:v>401</x:v>
      </x:c>
      <x:c r="C31" s="10" t="n">
        <x:v>2</x:v>
      </x:c>
      <x:c r="D31" s="11" t="str">
        <x:f aca="0">IF(C31="","",IF(ISNUMBER(C31),IF(ABS(C31-2)&lt;=0.01,"Đúng","Chưa đúng"),"Gõ một số"))</x:f>
        <x:v>Đúng</x:v>
      </x:c>
      <x:c r="E31" s="7" t="s">
        <x:v>389</x:v>
      </x:c>
    </x:row>
    <x:row r="32" ht="18" hidden="0" customHeight="1">
      <x:c r="A32" s="8" t="s">
        <x:v>402</x:v>
      </x:c>
      <x:c r="B32" s="7" t="s">
        <x:v>403</x:v>
      </x:c>
      <x:c r="C32" s="15" t="n">
        <x:v>0.875</x:v>
      </x:c>
      <x:c r="D32" s="11" t="str">
        <x:f aca="0">IF(C32="","",IF(ISNUMBER(C32),IF(OR(ABS(C32-0.875)&lt;=0.006,ABS(C32-87.5)&lt;=0.6),"Đúng","Chưa đúng"),"Gõ một số"))</x:f>
        <x:v>Đúng</x:v>
      </x:c>
      <x:c r="E32" s="7" t="s">
        <x:v>389</x:v>
      </x:c>
    </x:row>
    <x:row r="33" ht="18" hidden="0" customHeight="1">
      <x:c r="A33" s="8" t="s">
        <x:v>404</x:v>
      </x:c>
      <x:c r="B33" s="7" t="s">
        <x:v>405</x:v>
      </x:c>
      <x:c r="C33" s="12" t="n">
        <x:v>0.5</x:v>
      </x:c>
      <x:c r="D33" s="11" t="str">
        <x:f aca="0">IF(C33="","",IF(ISNUMBER(C33),IF(OR(ABS(C33-0.5)&lt;=0.006,ABS(C33-50)&lt;=0.6),"Đúng","Chưa đúng"),"Gõ một số"))</x:f>
        <x:v>Đúng</x:v>
      </x:c>
      <x:c r="E33" s="7" t="s">
        <x:v>389</x:v>
      </x:c>
    </x:row>
    <x:row r="34" ht="18" hidden="0" customHeight="1">
      <x:c r="A34" s="8" t="s">
        <x:v>406</x:v>
      </x:c>
      <x:c r="B34" s="7" t="s">
        <x:v>407</x:v>
      </x:c>
      <x:c r="C34" s="13" t="str">
        <x:v>B</x:v>
      </x:c>
      <x:c r="D34" s="11" t="str">
        <x:f aca="0">IF(C34="","",IF(C34="B","Đúng","Chưa đúng"))</x:f>
        <x:v>Đúng</x:v>
      </x:c>
      <x:c r="E34" s="7" t="s">
        <x:v>408</x:v>
      </x:c>
    </x:row>
    <x:row r="35" ht="18" hidden="0" customHeight="1">
      <x:c r="A35" s="8" t="s">
        <x:v>409</x:v>
      </x:c>
      <x:c r="B35" s="7" t="s">
        <x:v>410</x:v>
      </x:c>
      <x:c r="C35" s="13" t="str">
        <x:v>Cho qua lỗi</x:v>
      </x:c>
      <x:c r="D35" s="11" t="str">
        <x:f aca="0">IF(C35="","",IF(C35="Cho qua lỗi","Đúng","Chưa đúng"))</x:f>
        <x:v>Đúng</x:v>
      </x:c>
      <x:c r="E35" s="7" t="s">
        <x:v>389</x:v>
      </x:c>
    </x:row>
    <x:row r="36" ht="63" hidden="0" customHeight="1">
      <x:c r="A36" s="8" t="s">
        <x:v>411</x:v>
      </x:c>
      <x:c r="B36" s="7" t="s">
        <x:v>412</x:v>
      </x:c>
      <x:c r="C36" s="16" t="n">
        <x:v>0.4</x:v>
      </x:c>
      <x:c r="D36" s="11" t="str">
        <x:f aca="0">IF(C36="","",IF(ISNUMBER(C36),IF(ABS(C36-0.4)&lt;=0.006,"Đúng","Chưa đúng"),"Gõ một số"))</x:f>
        <x:v>Đúng</x:v>
      </x:c>
      <x:c r="E36" s="7" t="s">
        <x:v>413</x:v>
      </x:c>
    </x:row>
    <x:row r="37" ht="33" hidden="0" customHeight="1">
      <x:c r="A37" s="8" t="s">
        <x:v>414</x:v>
      </x:c>
      <x:c r="B37" s="7" t="s">
        <x:v>415</x:v>
      </x:c>
      <x:c r="C37" s="10" t="n">
        <x:v>4</x:v>
      </x:c>
      <x:c r="D37" s="11" t="str">
        <x:f aca="0">IF(C37="","",IF(ISNUMBER(C37),IF(ABS(C37-4)&lt;=0.01,"Đúng","Chưa đúng"),"Gõ một số"))</x:f>
        <x:v>Đúng</x:v>
      </x:c>
      <x:c r="E37" s="7" t="s">
        <x:v>408</x:v>
      </x:c>
    </x:row>
    <x:row r="38" ht="33" hidden="0" customHeight="1">
      <x:c r="A38" s="8" t="s">
        <x:v>416</x:v>
      </x:c>
      <x:c r="B38" s="7" t="s">
        <x:v>417</x:v>
      </x:c>
      <x:c r="C38" s="13" t="str">
        <x:v>Có</x:v>
      </x:c>
      <x:c r="D38" s="11" t="str">
        <x:f aca="0">IF(C38="","",IF(C38="Có","Đúng","Chưa đúng"))</x:f>
        <x:v>Đúng</x:v>
      </x:c>
      <x:c r="E38" s="7" t="s">
        <x:v>408</x:v>
      </x:c>
    </x:row>
    <x:row r="39" ht="33" hidden="0" customHeight="1">
      <x:c r="A39" s="8" t="s">
        <x:v>418</x:v>
      </x:c>
      <x:c r="B39" s="7" t="s">
        <x:v>419</x:v>
      </x:c>
      <x:c r="C39" s="13" t="str">
        <x:v>Sai</x:v>
      </x:c>
      <x:c r="D39" s="11" t="str">
        <x:f aca="0">IF(C39="","",IF(C39="Sai","Đúng","Chưa đúng"))</x:f>
        <x:v>Đúng</x:v>
      </x:c>
      <x:c r="E39" s="7" t="s">
        <x:v>413</x:v>
      </x:c>
    </x:row>
    <x:row r="40" ht="18" hidden="0" customHeight="1">
      <x:c r="A40" s="8" t="s">
        <x:v>420</x:v>
      </x:c>
      <x:c r="B40" s="7" t="s">
        <x:v>421</x:v>
      </x:c>
      <x:c r="C40" s="13" t="str">
        <x:v>Sai</x:v>
      </x:c>
      <x:c r="D40" s="11" t="str">
        <x:f aca="0">IF(C40="","",IF(C40="Sai","Đúng","Chưa đúng"))</x:f>
        <x:v>Đúng</x:v>
      </x:c>
      <x:c r="E40" s="7" t="s">
        <x:v>422</x:v>
      </x:c>
    </x:row>
    <x:row r="41" ht="18" hidden="0" customHeight="1">
      <x:c r="A41" s="8" t="s">
        <x:v>423</x:v>
      </x:c>
      <x:c r="B41" s="7" t="s">
        <x:v>424</x:v>
      </x:c>
      <x:c r="C41" s="13" t="str">
        <x:v>Sai</x:v>
      </x:c>
      <x:c r="D41" s="11" t="str">
        <x:f aca="0">IF(C41="","",IF(C41="Sai","Đúng","Chưa đúng"))</x:f>
        <x:v>Đúng</x:v>
      </x:c>
      <x:c r="E41" s="7" t="s">
        <x:v>413</x:v>
      </x:c>
    </x:row>
    <x:row r="42" ht="33" hidden="0" customHeight="1">
      <x:c r="A42" s="8" t="s">
        <x:v>425</x:v>
      </x:c>
      <x:c r="B42" s="7" t="s">
        <x:v>426</x:v>
      </x:c>
      <x:c r="C42" s="13" t="str">
        <x:v>Đúng</x:v>
      </x:c>
      <x:c r="D42" s="11" t="str">
        <x:f aca="0">IF(C42="","",IF(C42="Đúng","Đúng","Chưa đúng"))</x:f>
        <x:v>Đúng</x:v>
      </x:c>
      <x:c r="E42" s="7" t="s">
        <x:v>427</x:v>
      </x:c>
    </x:row>
    <x:row r="44" ht="18" hidden="0" customHeight="1">
      <x:c r="A44" s="8" t="s">
        <x:v>230</x:v>
      </x:c>
      <x:c r="B44" s="8"/>
      <x:c r="C44" s="14" t="n">
        <x:f aca="0">COUNTIF(D25:D42,"Đúng")</x:f>
        <x:v>18</x:v>
      </x:c>
      <x:c r="D44" s="7" t="s">
        <x:v>428</x:v>
      </x:c>
    </x:row>
  </x:sheetData>
  <x:mergeCells>
    <x:mergeCell ref="A2:E2"/>
    <x:mergeCell ref="A4:E4"/>
    <x:mergeCell ref="A5:E5"/>
    <x:mergeCell ref="A6:E6"/>
    <x:mergeCell ref="A22:E22"/>
    <x:mergeCell ref="A44:B44"/>
  </x:mergeCells>
  <x:dataValidations count="7">
    <x:dataValidation type="list" errorStyle="stop" operator="between" allowBlank="1" showDropDown="0" showInputMessage="0" showErrorMessage="0" sqref="C34">
      <x:formula1>_ds!$B$1:$B$3</x:formula1>
      <x:formula2>0</x:formula2>
    </x:dataValidation>
    <x:dataValidation type="list" errorStyle="stop" operator="between" allowBlank="1" showDropDown="0" showInputMessage="0" showErrorMessage="0" sqref="C35">
      <x:formula1>_ds!$L$1:$L$2</x:formula1>
      <x:formula2>0</x:formula2>
    </x:dataValidation>
    <x:dataValidation type="list" errorStyle="stop" operator="between" allowBlank="1" showDropDown="0" showInputMessage="0" showErrorMessage="0" sqref="C38">
      <x:formula1>_ds!$A$1:$A$2</x:formula1>
      <x:formula2>0</x:formula2>
    </x:dataValidation>
    <x:dataValidation type="list" errorStyle="stop" operator="between" allowBlank="1" showDropDown="0" showInputMessage="0" showErrorMessage="0" sqref="C39">
      <x:formula1>_ds!$M$1:$M$2</x:formula1>
      <x:formula2>0</x:formula2>
    </x:dataValidation>
    <x:dataValidation type="list" errorStyle="stop" operator="between" allowBlank="1" showDropDown="0" showInputMessage="0" showErrorMessage="0" sqref="C40">
      <x:formula1>_ds!$M$1:$M$2</x:formula1>
      <x:formula2>0</x:formula2>
    </x:dataValidation>
    <x:dataValidation type="list" errorStyle="stop" operator="between" allowBlank="1" showDropDown="0" showInputMessage="0" showErrorMessage="0" sqref="C41">
      <x:formula1>_ds!$M$1:$M$2</x:formula1>
      <x:formula2>0</x:formula2>
    </x:dataValidation>
    <x:dataValidation type="list" errorStyle="stop" operator="between" allowBlank="1" showDropDown="0" showInputMessage="0" showErrorMessage="0" sqref="C42">
      <x:formula1>_ds!$M$1:$M$2</x:formula1>
      <x:formula2>0</x:formula2>
    </x:dataValidation>
  </x:dataValidations>
  <x:pageMargins left="0.7" right="0.7" top="0.75" bottom="0.75" header="0.3" footer="0.3"/>
</x:worksheet>
</file>

<file path=xl/worksheets/sheet8.xml><?xml version="1.0" encoding="utf-8"?>
<x:worksheet xmlns:x="http://schemas.openxmlformats.org/spreadsheetml/2006/main">
  <x:sheetViews>
    <x:sheetView showGridLines="1" workbookViewId="0"/>
  </x:sheetViews>
  <x:sheetFormatPr defaultColWidth="8.6796875" defaultRowHeight="15"/>
  <x:cols>
    <x:col min="1" max="1" width="7" hidden="0" customWidth="1"/>
    <x:col min="2" max="2" width="34" hidden="0" customWidth="1"/>
    <x:col min="3" max="3" width="40" hidden="0" customWidth="1"/>
    <x:col min="4" max="4" width="34" hidden="0" customWidth="1"/>
    <x:col min="5" max="5" width="22" hidden="0" customWidth="1"/>
    <x:col min="6" max="7" width="16" hidden="0" customWidth="1"/>
  </x:cols>
  <x:sheetData>
    <x:row r="1" ht="17.350000381469727" hidden="0">
      <x:c r="A1" s="1" t="s">
        <x:v>429</x:v>
      </x:c>
    </x:row>
    <x:row r="2" ht="33" hidden="0" customHeight="1">
      <x:c r="A2" s="2" t="s">
        <x:v>430</x:v>
      </x:c>
      <x:c r="B2" s="2"/>
      <x:c r="C2" s="2"/>
      <x:c r="D2" s="2"/>
      <x:c r="E2" s="2"/>
      <x:c r="F2" s="2"/>
      <x:c r="G2" s="2"/>
    </x:row>
    <x:row r="3" ht="18" hidden="0" customHeight="1">
      <x:c r="A3" s="8" t="s">
        <x:v>431</x:v>
      </x:c>
      <x:c r="B3" s="8" t="str">
        <x:v>IcarusDaedalus</x:v>
      </x:c>
      <x:c r="C3" s="13" t="str">
        <x:v>Tiến 2A202602872</x:v>
      </x:c>
      <x:c r="D3" s="13" t="str">
        <x:v>Thanh 2A202602841</x:v>
      </x:c>
      <x:c r="E3" s="13" t="str">
        <x:v>Quân 2A202602922</x:v>
      </x:c>
      <x:c r="F3" s="13" t="str">
        <x:v>Thăng 2A202602835</x:v>
      </x:c>
      <x:c r="G3" s="13"/>
    </x:row>
    <x:row r="5" ht="18" hidden="0" customHeight="1">
      <x:c r="A5" s="17" t="s">
        <x:v>432</x:v>
      </x:c>
      <x:c r="B5" s="17"/>
      <x:c r="C5" s="17"/>
      <x:c r="D5" s="17"/>
      <x:c r="E5" s="17"/>
      <x:c r="F5" s="17"/>
      <x:c r="G5" s="17"/>
    </x:row>
    <x:row r="6" ht="18" hidden="0" customHeight="1">
      <x:c r="A6" s="4" t="s">
        <x:v>433</x:v>
      </x:c>
      <x:c r="B6" s="4"/>
      <x:c r="C6" s="4"/>
      <x:c r="D6" s="4"/>
      <x:c r="E6" s="4"/>
      <x:c r="F6" s="4"/>
      <x:c r="G6" s="4"/>
    </x:row>
    <x:row r="7" ht="61.5" hidden="0" customHeight="1">
      <x:c r="A7" s="8" t="s">
        <x:v>434</x:v>
      </x:c>
      <x:c r="B7" s="8"/>
      <x:c r="C7" s="13" t="str">
        <x:v>Đọc tin nhắn khách và dữ liệu đơn hàng → soạn 1 câu trả lời đổi/trả có mã đơn, chính sách và bước tiếp theo kiểm được trong dưới 2 giây; phải tra cứu trước khi hứa, không bịa mã hoặc hứa đền bù; hàng lỗi hay khách yêu cầu người thật thì chuyển nhân viên.</x:v>
      </x:c>
      <x:c r="D7" s="13"/>
      <x:c r="E7" s="13"/>
      <x:c r="F7" s="13"/>
      <x:c r="G7" s="11" t="str">
        <x:f aca="0">IF(C7="","",IF(LEN(C7)&lt;60,"Viết rõ hơn",IF(ISNUMBER(SEARCH("→",C7))=FALSE(),"Thiếu dấu →",IF(ISNUMBER(SEARCH("tốt",C7))+ISNUMBER(SEARCH("hợp lý",C7))+ISNUMBER(SEARCH("phù hợp",C7))+ISNUMBER(SEARCH("đầy đủ",C7))+ISNUMBER(SEARCH("chính xác",C7))+ISNUMBER(SEARCH("hài lòng",C7))+ISNUMBER(SEARCH("thân thiện",C7))&gt;0,"Còn từ mơ hồ","Đạt"))))</x:f>
        <x:v>Đạt</x:v>
      </x:c>
    </x:row>
    <x:row r="9" ht="18" hidden="0" customHeight="1">
      <x:c r="A9" s="17" t="s">
        <x:v>435</x:v>
      </x:c>
      <x:c r="B9" s="17"/>
      <x:c r="C9" s="17"/>
      <x:c r="D9" s="17"/>
      <x:c r="E9" s="17"/>
      <x:c r="F9" s="17"/>
      <x:c r="G9" s="17"/>
    </x:row>
    <x:row r="10" ht="18" hidden="0" customHeight="1">
      <x:c r="A10" s="4" t="s">
        <x:v>436</x:v>
      </x:c>
      <x:c r="B10" s="4"/>
      <x:c r="C10" s="4"/>
      <x:c r="D10" s="4"/>
      <x:c r="E10" s="4"/>
      <x:c r="F10" s="4"/>
      <x:c r="G10" s="4"/>
    </x:row>
    <x:row r="11" ht="18" hidden="0" customHeight="1">
      <x:c r="A11" s="6" t="s">
        <x:v>437</x:v>
      </x:c>
      <x:c r="B11" s="6" t="s">
        <x:v>438</x:v>
      </x:c>
      <x:c r="C11" s="6" t="s">
        <x:v>439</x:v>
      </x:c>
      <x:c r="D11" s="6" t="s">
        <x:v>440</x:v>
      </x:c>
      <x:c r="E11" s="6"/>
      <x:c r="F11" s="6"/>
      <x:c r="G11" s="6"/>
    </x:row>
    <x:row r="12" ht="33.75" hidden="0" customHeight="1">
      <x:c r="A12" s="7" t="s">
        <x:v>90</x:v>
      </x:c>
      <x:c r="B12" s="13" t="str">
        <x:v>Ý định</x:v>
      </x:c>
      <x:c r="C12" s="10" t="n">
        <x:v>4</x:v>
      </x:c>
      <x:c r="D12" s="13" t="str">
        <x:v>Đổi giá trị làm đổi mục tiêu và công cụ: Đổi hàng/Trả hàng/Tra cứu đơn/Cần làm rõ dẫn tới hành vi và câu trả lời khác nhau.</x:v>
      </x:c>
      <x:c r="E12" s="13"/>
      <x:c r="F12" s="13"/>
      <x:c r="G12" s="13"/>
    </x:row>
    <x:row r="13" ht="33.75" hidden="0" customHeight="1">
      <x:c r="A13" s="7" t="s">
        <x:v>93</x:v>
      </x:c>
      <x:c r="B13" s="13" t="str">
        <x:v>Độ đủ thông tin</x:v>
      </x:c>
      <x:c r="C13" s="10" t="n">
        <x:v>3</x:v>
      </x:c>
      <x:c r="D13" s="13" t="str">
        <x:v>Đủ thì xử lý sau tra cứu; thiếu mã đơn thì hỏi mã hoặc số điện thoại; mơ hồ thì hỏi lại trước khi hành động (CS-5).</x:v>
      </x:c>
      <x:c r="E13" s="13"/>
      <x:c r="F13" s="13"/>
      <x:c r="G13" s="13"/>
    </x:row>
    <x:row r="14" ht="33.75" hidden="0" customHeight="1">
      <x:c r="A14" s="7" t="s">
        <x:v>96</x:v>
      </x:c>
      <x:c r="B14" s="13" t="str">
        <x:v>Tình trạng đơn</x:v>
      </x:c>
      <x:c r="C14" s="10" t="n">
        <x:v>3</x:v>
      </x:c>
      <x:c r="D14" s="13" t="str">
        <x:v>Trong 7 ngày có thể đổi/trả sau tra cứu; quá 7 ngày không hứa; hàng lỗi trong 30 ngày phải chuyển nhân viên (CS-1–CS-4, CS-6).</x:v>
      </x:c>
      <x:c r="E14" s="13"/>
      <x:c r="F14" s="13"/>
      <x:c r="G14" s="13"/>
    </x:row>
    <x:row r="15" ht="18" hidden="0" customHeight="1">
      <x:c r="A15" s="8" t="s">
        <x:v>441</x:v>
      </x:c>
      <x:c r="B15" s="8"/>
      <x:c r="C15" s="18" t="n">
        <x:f aca="0">IF(COUNT(C12:C14)&lt;3,"",PRODUCT(C12:C14))</x:f>
        <x:v>36</x:v>
      </x:c>
    </x:row>
    <x:row r="16" ht="18" hidden="0" customHeight="1">
      <x:c r="A16" s="8" t="s">
        <x:v>442</x:v>
      </x:c>
      <x:c r="B16" s="8"/>
      <x:c r="C16" s="10" t="n">
        <x:v>12</x:v>
      </x:c>
    </x:row>
    <x:row r="17" ht="18" hidden="0" customHeight="1">
      <x:c r="A17" s="8" t="s">
        <x:v>443</x:v>
      </x:c>
      <x:c r="B17" s="8"/>
      <x:c r="C17" s="18" t="n">
        <x:f aca="0">IF(OR(C15="",C16=""),"",C15-C16)</x:f>
        <x:v>24</x:v>
      </x:c>
    </x:row>
    <x:row r="18" ht="18" hidden="0" customHeight="1">
      <x:c r="A18" s="8" t="s">
        <x:v>444</x:v>
      </x:c>
      <x:c r="B18" s="8"/>
      <x:c r="C18" s="10" t="n">
        <x:v>16</x:v>
      </x:c>
      <x:c r="D18" s="11" t="str">
        <x:f aca="0">IF(OR(C18="",C17=""),"",IF(C18&gt;C17,"Chọn nhiều hơn số còn lại","Đạt"))</x:f>
        <x:v>Đạt</x:v>
      </x:c>
    </x:row>
    <x:row r="19" ht="18" hidden="0" customHeight="1">
      <x:c r="A19" s="8" t="s">
        <x:v>445</x:v>
      </x:c>
      <x:c r="B19" s="8"/>
      <x:c r="C19" s="10" t="n">
        <x:v>3</x:v>
      </x:c>
    </x:row>
    <x:row r="20" ht="18" hidden="0" customHeight="1">
      <x:c r="A20" s="8" t="s">
        <x:v>446</x:v>
      </x:c>
      <x:c r="B20" s="8"/>
      <x:c r="C20" s="14" t="n">
        <x:f aca="0">IF(OR(C18="",C19=""),"",C18*C19)</x:f>
        <x:v>48</x:v>
      </x:c>
      <x:c r="D20" s="11" t="str">
        <x:f aca="0">IF(C20="","",IF(AND(C20&gt;=40,C20&lt;=50),"Đạt","Nên trong khoảng 40–50 (trang 29)"))</x:f>
        <x:v>Đạt</x:v>
      </x:c>
    </x:row>
    <x:row r="22" ht="18" hidden="0" customHeight="1">
      <x:c r="A22" s="17" t="s">
        <x:v>447</x:v>
      </x:c>
      <x:c r="B22" s="17"/>
      <x:c r="C22" s="17"/>
      <x:c r="D22" s="17"/>
      <x:c r="E22" s="17"/>
      <x:c r="F22" s="17"/>
      <x:c r="G22" s="17"/>
    </x:row>
    <x:row r="23" ht="18" hidden="0" customHeight="1">
      <x:c r="A23" s="4" t="s">
        <x:v>448</x:v>
      </x:c>
      <x:c r="B23" s="4"/>
      <x:c r="C23" s="4"/>
      <x:c r="D23" s="4"/>
      <x:c r="E23" s="4"/>
      <x:c r="F23" s="4"/>
      <x:c r="G23" s="4"/>
    </x:row>
    <x:row r="24" ht="18" hidden="0" customHeight="1">
      <x:c r="A24" s="6" t="s">
        <x:v>437</x:v>
      </x:c>
      <x:c r="B24" s="6" t="s">
        <x:v>449</x:v>
      </x:c>
      <x:c r="C24" s="6" t="s">
        <x:v>450</x:v>
      </x:c>
      <x:c r="D24" s="6"/>
      <x:c r="E24" s="6" t="s">
        <x:v>451</x:v>
      </x:c>
    </x:row>
    <x:row r="25" ht="48" hidden="0" customHeight="1">
      <x:c r="A25" s="7" t="s">
        <x:v>90</x:v>
      </x:c>
      <x:c r="B25" s="13" t="str">
        <x:v>Mình nhận áo hôm qua, chật quá, đổi sang size L giúp mình, mã MS-1043.</x:v>
      </x:c>
      <x:c r="C25" s="13" t="str">
        <x:v>Phân loại Đổi hàng; gọi tra_cuu_don(MS-1043) trước; nếu nhận trong 7 ngày và còn tem mác thì tạo yêu cầu đổi và nêu bước tiếp theo (CS-1, CS-4).</x:v>
      </x:c>
      <x:c r="D25" s="13"/>
      <x:c r="E25" s="13" t="str">
        <x:v>Đại diện</x:v>
      </x:c>
    </x:row>
    <x:row r="26" ht="48" hidden="0" customHeight="1">
      <x:c r="A26" s="7" t="s">
        <x:v>93</x:v>
      </x:c>
      <x:c r="B26" s="13" t="str">
        <x:v>Mình muốn trả đơn MS-1010, nhận 3 ngày trước, không vừa.</x:v>
      </x:c>
      <x:c r="C26" s="13" t="str">
        <x:v>Phân loại Trả hàng; gọi tra_cuu_don(MS-1010) trước; nếu trong 7 ngày thì tạo yêu cầu trả và nói hoàn tiền 3–5 ngày làm việc (CS-2, CS-4).</x:v>
      </x:c>
      <x:c r="D26" s="13"/>
      <x:c r="E26" s="13" t="str">
        <x:v>Đại diện</x:v>
      </x:c>
    </x:row>
    <x:row r="27" ht="48" hidden="0" customHeight="1">
      <x:c r="A27" s="7" t="s">
        <x:v>96</x:v>
      </x:c>
      <x:c r="B27" s="13" t="str">
        <x:v>Cho mình xem đơn MS-1020 đang ở đâu?</x:v>
      </x:c>
      <x:c r="C27" s="13" t="str">
        <x:v>Phân loại Tra cứu đơn; gọi tra_cuu_don(MS-1020) và chỉ báo ngày nhận/trạng thái, không xác nhận đổi trả (CS-4).</x:v>
      </x:c>
      <x:c r="D27" s="13"/>
      <x:c r="E27" s="13" t="str">
        <x:v>Đại diện</x:v>
      </x:c>
    </x:row>
    <x:row r="28" ht="48" hidden="0" customHeight="1">
      <x:c r="A28" s="7" t="s">
        <x:v>109</x:v>
      </x:c>
      <x:c r="B28" s="13" t="str">
        <x:v>Cái đơn hôm trước ấy, thôi giờ mình không lấy nữa được không?</x:v>
      </x:c>
      <x:c r="C28" s="13" t="str">
        <x:v>Phân loại Cần làm rõ; hỏi mã đơn hoặc số điện thoại, không đoán đơn; nếu có nhiều đơn thì hỏi khách chọn đúng đơn trước khi tạo yêu cầu (CS-5).</x:v>
      </x:c>
      <x:c r="D28" s="13"/>
      <x:c r="E28" s="13" t="str">
        <x:v>Thử thách</x:v>
      </x:c>
    </x:row>
    <x:row r="29" ht="48" hidden="0" customHeight="1">
      <x:c r="A29" s="7" t="s">
        <x:v>112</x:v>
      </x:c>
      <x:c r="B29" s="13" t="str">
        <x:v>Mình đặt 2 đơn, đơn MS-1050 muốn trả, đơn MS-1051 muốn đổi size.</x:v>
      </x:c>
      <x:c r="C29" s="13" t="str">
        <x:v>Xử lý hai yêu cầu riêng; tra cứu MS-1050 và MS-1051 trước, đối chiếu từng trạng thái rồi mới tạo đúng yêu cầu trả/đổi, không gộp nhầm (CS-4).</x:v>
      </x:c>
      <x:c r="D29" s="13"/>
      <x:c r="E29" s="13" t="str">
        <x:v>Thử thách</x:v>
      </x:c>
    </x:row>
    <x:row r="30" ht="48" hidden="0" customHeight="1">
      <x:c r="A30" s="7" t="s">
        <x:v>128</x:v>
      </x:c>
      <x:c r="B30" s="13" t="str">
        <x:v>Áo rách, cho mình gặp người thật, MS-1001.</x:v>
      </x:c>
      <x:c r="C30" s="13" t="str">
        <x:v>Đánh nhãn Trả hàng và cờ hàng lỗi; tra cứu MS-1001 rồi gọi chuyen_nhan_vien vì khách yêu cầu người thật/hàng rách; không tự hứa đền bù (CS-3, CS-4, CS-6).</x:v>
      </x:c>
      <x:c r="D30" s="13"/>
      <x:c r="E30" s="13" t="str">
        <x:v>Thử thách</x:v>
      </x:c>
    </x:row>
    <x:row r="31" ht="48" hidden="0" customHeight="1">
      <x:c r="A31" s="7" t="s">
        <x:v>131</x:v>
      </x:c>
      <x:c r="B31" s="13" t="str">
        <x:v>Mình nhận MS-0871 20 ngày rồi, trả hoàn tiền được không?</x:v>
      </x:c>
      <x:c r="C31" s="13" t="str">
        <x:v>Tra cứu MS-0871 trước; vì nhận 20 ngày đã quá hạn 7 ngày nên không hứa hoàn tiền, giải thích giới hạn CS-2 (CS-2, CS-4).</x:v>
      </x:c>
      <x:c r="D31" s="13"/>
      <x:c r="E31" s="13" t="str">
        <x:v>Hồi quy nghiêm trọng</x:v>
      </x:c>
    </x:row>
    <x:row r="32" ht="48" hidden="0" customHeight="1">
      <x:c r="A32" s="7" t="s">
        <x:v>134</x:v>
      </x:c>
      <x:c r="B32" s="13" t="str">
        <x:v>Mã đơn MS-1111, nhận hôm qua, mình muốn đổi sang màu đen.</x:v>
      </x:c>
      <x:c r="C32" s="13" t="str">
        <x:v>Phân loại Đổi hàng; tra cứu MS-1111 trước; nếu nhận hôm qua và còn tem mác thì tạo yêu cầu đổi màu theo CS-1 và nêu bước tiếp theo (CS-1, CS-4).</x:v>
      </x:c>
      <x:c r="D32" s="13"/>
      <x:c r="E32" s="13" t="str">
        <x:v>Đại diện</x:v>
      </x:c>
    </x:row>
    <x:row r="33" ht="18" hidden="0" customHeight="1">
      <x:c r="B33" s="8" t="s">
        <x:v>452</x:v>
      </x:c>
      <x:c r="C33" s="18" t="n">
        <x:f aca="0">COUNTIF(E25:E32,"Đại diện")</x:f>
        <x:v>4</x:v>
      </x:c>
    </x:row>
    <x:row r="34" ht="18" hidden="0" customHeight="1">
      <x:c r="B34" s="8" t="s">
        <x:v>453</x:v>
      </x:c>
      <x:c r="C34" s="18" t="n">
        <x:f aca="0">COUNTIF(E25:E32,"Thử thách")</x:f>
        <x:v>3</x:v>
      </x:c>
    </x:row>
    <x:row r="35" ht="18" hidden="0" customHeight="1">
      <x:c r="B35" s="8" t="s">
        <x:v>454</x:v>
      </x:c>
      <x:c r="C35" s="18" t="n">
        <x:f aca="0">COUNTIF(E25:E32,"Hồi quy nghiêm trọng")</x:f>
        <x:v>1</x:v>
      </x:c>
    </x:row>
    <x:row r="36" ht="18" hidden="0" customHeight="1">
      <x:c r="B36" s="8" t="s">
        <x:v>210</x:v>
      </x:c>
      <x:c r="C36" s="11" t="str">
        <x:f aca="0">IF(COUNTA(E25:E32)=0,"",IF(COUNTA(B25:B32)&lt;8,"Chưa đủ 8 tình huống",IF(COUNTIF(E25:E32,"Đại diện")*COUNTIF(E25:E32,"Thử thách")*COUNTIF(E25:E32,"Hồi quy nghiêm trọng")=0,"Thiếu một loại",IF(COUNTIF(E25:E32,"Thử thách")&lt;3,"Cần ít nhất 3 tình huống thử thách","Đạt"))))</x:f>
        <x:v>Đạt</x:v>
      </x:c>
    </x:row>
    <x:row r="38" ht="18" hidden="0" customHeight="1">
      <x:c r="A38" s="17" t="s">
        <x:v>455</x:v>
      </x:c>
      <x:c r="B38" s="17"/>
      <x:c r="C38" s="17"/>
      <x:c r="D38" s="17"/>
      <x:c r="E38" s="17"/>
      <x:c r="F38" s="17"/>
      <x:c r="G38" s="17"/>
    </x:row>
    <x:row r="39" ht="18" hidden="0" customHeight="1">
      <x:c r="A39" s="4" t="s">
        <x:v>456</x:v>
      </x:c>
      <x:c r="B39" s="4"/>
      <x:c r="C39" s="4"/>
      <x:c r="D39" s="4"/>
      <x:c r="E39" s="4"/>
      <x:c r="F39" s="4"/>
      <x:c r="G39" s="4"/>
    </x:row>
    <x:row r="40" ht="18" hidden="0" customHeight="1">
      <x:c r="A40" s="6" t="s">
        <x:v>270</x:v>
      </x:c>
      <x:c r="B40" s="6" t="s">
        <x:v>271</x:v>
      </x:c>
      <x:c r="C40" s="6"/>
      <x:c r="D40" s="6"/>
      <x:c r="E40" s="6"/>
      <x:c r="F40" s="6"/>
      <x:c r="G40" s="6"/>
    </x:row>
    <x:row r="41" ht="18" hidden="0" customHeight="1">
      <x:c r="A41" s="8" t="s">
        <x:v>457</x:v>
      </x:c>
      <x:c r="B41" s="7" t="s">
        <x:v>458</x:v>
      </x:c>
      <x:c r="C41" s="7"/>
      <x:c r="D41" s="7"/>
      <x:c r="E41" s="7"/>
      <x:c r="F41" s="7"/>
      <x:c r="G41" s="7"/>
    </x:row>
    <x:row r="42" ht="18" hidden="0" customHeight="1">
      <x:c r="A42" s="8"/>
      <x:c r="B42" s="7" t="s">
        <x:v>290</x:v>
      </x:c>
      <x:c r="C42" s="7"/>
      <x:c r="D42" s="7"/>
      <x:c r="E42" s="7"/>
      <x:c r="F42" s="7"/>
      <x:c r="G42" s="7"/>
    </x:row>
    <x:row r="43" ht="18" hidden="0" customHeight="1">
      <x:c r="A43" s="8"/>
      <x:c r="B43" s="7" t="s">
        <x:v>459</x:v>
      </x:c>
      <x:c r="C43" s="7"/>
      <x:c r="D43" s="7"/>
      <x:c r="E43" s="7"/>
      <x:c r="F43" s="7"/>
      <x:c r="G43" s="7"/>
    </x:row>
    <x:row r="44" ht="18" hidden="0" customHeight="1">
      <x:c r="A44" s="8"/>
      <x:c r="B44" s="7" t="s">
        <x:v>460</x:v>
      </x:c>
      <x:c r="C44" s="7"/>
      <x:c r="D44" s="7"/>
      <x:c r="E44" s="7"/>
      <x:c r="F44" s="7"/>
      <x:c r="G44" s="7"/>
    </x:row>
    <x:row r="45" ht="18" hidden="0" customHeight="1">
      <x:c r="A45" s="8" t="s">
        <x:v>461</x:v>
      </x:c>
      <x:c r="B45" s="7" t="s">
        <x:v>462</x:v>
      </x:c>
      <x:c r="C45" s="7"/>
      <x:c r="D45" s="7"/>
      <x:c r="E45" s="7"/>
      <x:c r="F45" s="7"/>
      <x:c r="G45" s="7"/>
    </x:row>
    <x:row r="46" ht="18" hidden="0" customHeight="1">
      <x:c r="A46" s="8"/>
      <x:c r="B46" s="7" t="s">
        <x:v>280</x:v>
      </x:c>
      <x:c r="C46" s="7"/>
      <x:c r="D46" s="7"/>
      <x:c r="E46" s="7"/>
      <x:c r="F46" s="7"/>
      <x:c r="G46" s="7"/>
    </x:row>
    <x:row r="47" ht="18" hidden="0" customHeight="1">
      <x:c r="A47" s="8"/>
      <x:c r="B47" s="7" t="s">
        <x:v>463</x:v>
      </x:c>
      <x:c r="C47" s="7"/>
      <x:c r="D47" s="7"/>
      <x:c r="E47" s="7"/>
      <x:c r="F47" s="7"/>
      <x:c r="G47" s="7"/>
    </x:row>
    <x:row r="48" ht="18" hidden="0" customHeight="1">
      <x:c r="A48" s="8"/>
      <x:c r="B48" s="7" t="s">
        <x:v>464</x:v>
      </x:c>
      <x:c r="C48" s="7"/>
      <x:c r="D48" s="7"/>
      <x:c r="E48" s="7"/>
      <x:c r="F48" s="7"/>
      <x:c r="G48" s="7"/>
    </x:row>
    <x:row r="49" ht="18" hidden="0" customHeight="1">
      <x:c r="A49" s="8"/>
      <x:c r="B49" s="7" t="s">
        <x:v>465</x:v>
      </x:c>
      <x:c r="C49" s="7"/>
      <x:c r="D49" s="7"/>
      <x:c r="E49" s="7"/>
      <x:c r="F49" s="7"/>
      <x:c r="G49" s="7"/>
    </x:row>
    <x:row r="50" ht="18" hidden="0" customHeight="1">
      <x:c r="A50" s="8" t="s">
        <x:v>466</x:v>
      </x:c>
      <x:c r="B50" s="7" t="s">
        <x:v>467</x:v>
      </x:c>
      <x:c r="C50" s="7"/>
      <x:c r="D50" s="7"/>
      <x:c r="E50" s="7"/>
      <x:c r="F50" s="7"/>
      <x:c r="G50" s="7"/>
    </x:row>
    <x:row r="51" ht="18" hidden="0" customHeight="1">
      <x:c r="A51" s="8"/>
      <x:c r="B51" s="7" t="s">
        <x:v>285</x:v>
      </x:c>
      <x:c r="C51" s="7"/>
      <x:c r="D51" s="7"/>
      <x:c r="E51" s="7"/>
      <x:c r="F51" s="7"/>
      <x:c r="G51" s="7"/>
    </x:row>
    <x:row r="52" ht="18" hidden="0" customHeight="1">
      <x:c r="A52" s="8"/>
      <x:c r="B52" s="7" t="s">
        <x:v>468</x:v>
      </x:c>
      <x:c r="C52" s="7"/>
      <x:c r="D52" s="7"/>
      <x:c r="E52" s="7"/>
      <x:c r="F52" s="7"/>
      <x:c r="G52" s="7"/>
    </x:row>
    <x:row r="53" ht="18" hidden="0" customHeight="1">
      <x:c r="A53" s="8"/>
      <x:c r="B53" s="7" t="s">
        <x:v>469</x:v>
      </x:c>
      <x:c r="C53" s="7"/>
      <x:c r="D53" s="7"/>
      <x:c r="E53" s="7"/>
      <x:c r="F53" s="7"/>
      <x:c r="G53" s="7"/>
    </x:row>
    <x:row r="55" ht="18" hidden="0" customHeight="1">
      <x:c r="A55" s="6" t="s">
        <x:v>270</x:v>
      </x:c>
      <x:c r="B55" s="6" t="s">
        <x:v>470</x:v>
      </x:c>
      <x:c r="C55" s="6" t="s">
        <x:v>471</x:v>
      </x:c>
      <x:c r="D55" s="6" t="s">
        <x:v>472</x:v>
      </x:c>
      <x:c r="E55" s="6"/>
      <x:c r="F55" s="6" t="s">
        <x:v>473</x:v>
      </x:c>
      <x:c r="G55" s="6" t="s">
        <x:v>474</x:v>
      </x:c>
    </x:row>
    <x:row r="56" ht="61.5" hidden="0" customHeight="1">
      <x:c r="A56" s="8" t="s">
        <x:v>457</x:v>
      </x:c>
      <x:c r="B56" s="10" t="n">
        <x:v>3</x:v>
      </x:c>
      <x:c r="C56" s="13" t="str">
        <x:v>missing_lookup</x:v>
      </x:c>
      <x:c r="D56" s="13" t="str">
        <x:v>Bắt buộc tra_cuu_don trước tao_yeu_cau_doi_tra và chỉ hứa sau khi kiểm tra đủ điều kiện (CS-4).</x:v>
      </x:c>
      <x:c r="E56" s="13"/>
      <x:c r="F56" s="11" t="str">
        <x:f aca="0">IF(B56="","",IF(B56=3,"Đúng","Chưa đúng"))</x:f>
        <x:v>Đúng</x:v>
      </x:c>
      <x:c r="G56" s="11" t="str">
        <x:f aca="0">IF(C56="","",IF(C56="missing_lookup","Đúng","Chưa đúng"))</x:f>
        <x:v>Đúng</x:v>
      </x:c>
    </x:row>
    <x:row r="57" ht="61.5" hidden="0" customHeight="1">
      <x:c r="A57" s="8" t="s">
        <x:v>461</x:v>
      </x:c>
      <x:c r="B57" s="10" t="n">
        <x:v>2</x:v>
      </x:c>
      <x:c r="C57" s="13" t="str">
        <x:v>wrong_intent</x:v>
      </x:c>
      <x:c r="D57" s="13" t="str">
        <x:v>Khi tra cứu trả về nhiều đơn, hỏi khách xác nhận mã đơn; không tự chọn MS-1188 (CS-5).</x:v>
      </x:c>
      <x:c r="E57" s="13"/>
      <x:c r="F57" s="11" t="str">
        <x:f aca="0">IF(B57="","",IF(B57=2,"Đúng","Chưa đúng"))</x:f>
        <x:v>Đúng</x:v>
      </x:c>
      <x:c r="G57" s="11" t="str">
        <x:f aca="0">IF(C57="","",IF(C57="wrong_intent","Đúng","Chưa đúng"))</x:f>
        <x:v>Đúng</x:v>
      </x:c>
    </x:row>
    <x:row r="58" ht="61.5" hidden="0" customHeight="1">
      <x:c r="A58" s="8" t="s">
        <x:v>466</x:v>
      </x:c>
      <x:c r="B58" s="10" t="n">
        <x:v>4</x:v>
      </x:c>
      <x:c r="C58" s="13" t="str">
        <x:v>missing_escalation</x:v>
      </x:c>
      <x:c r="D58" s="13" t="str">
        <x:v>Tạo cổng chuyen_nhan_vien cho hàng lỗi hoặc yêu cầu gặp người thật trước khi trả lời chính sách (CS-3, CS-6).</x:v>
      </x:c>
      <x:c r="E58" s="13"/>
      <x:c r="F58" s="11" t="str">
        <x:f aca="0">IF(B58="","",IF(B58=4,"Đúng","Chưa đúng"))</x:f>
        <x:v>Đúng</x:v>
      </x:c>
      <x:c r="G58" s="11" t="str">
        <x:f aca="0">IF(C58="","",IF(C58="missing_escalation","Đúng","Chưa đúng"))</x:f>
        <x:v>Đúng</x:v>
      </x:c>
    </x:row>
    <x:row r="60" ht="18" hidden="0" customHeight="1">
      <x:c r="A60" s="17" t="s">
        <x:v>475</x:v>
      </x:c>
      <x:c r="B60" s="17"/>
      <x:c r="C60" s="17"/>
      <x:c r="D60" s="17"/>
      <x:c r="E60" s="17"/>
      <x:c r="F60" s="17"/>
      <x:c r="G60" s="17"/>
    </x:row>
    <x:row r="61" ht="18" hidden="0" customHeight="1">
      <x:c r="A61" s="4" t="s">
        <x:v>476</x:v>
      </x:c>
      <x:c r="B61" s="4"/>
      <x:c r="C61" s="4"/>
      <x:c r="D61" s="4"/>
      <x:c r="E61" s="4"/>
      <x:c r="F61" s="4"/>
      <x:c r="G61" s="4"/>
    </x:row>
    <x:row r="62" ht="18" hidden="0" customHeight="1">
      <x:c r="A62" s="6" t="s">
        <x:v>437</x:v>
      </x:c>
      <x:c r="B62" s="6" t="s">
        <x:v>477</x:v>
      </x:c>
      <x:c r="C62" s="6" t="s">
        <x:v>478</x:v>
      </x:c>
      <x:c r="D62" s="6" t="s">
        <x:v>479</x:v>
      </x:c>
      <x:c r="E62" s="6" t="s">
        <x:v>480</x:v>
      </x:c>
      <x:c r="F62" s="6" t="s">
        <x:v>481</x:v>
      </x:c>
      <x:c r="G62" s="6" t="s">
        <x:v>482</x:v>
      </x:c>
    </x:row>
    <x:row r="63" ht="78" hidden="0" customHeight="1">
      <x:c r="A63" s="8" t="s">
        <x:v>483</x:v>
      </x:c>
      <x:c r="B63" s="13" t="str">
        <x:v>Tra cứu trước khi hứa</x:v>
      </x:c>
      <x:c r="C63" s="13" t="str">
        <x:v>Đạt khi vết thực thi có tra_cuu_don trước mọi tao_yeu_cau_doi_tra hoặc lời hứa đổi, trả, hoàn tiền.</x:v>
      </x:c>
      <x:c r="D63" s="13" t="str">
        <x:v>Khách đưa MS-1043; AI tra cứu rồi mới xác nhận còn trong 7 ngày.</x:v>
      </x:c>
      <x:c r="E63" s="13" t="str">
        <x:v>AI nói đã tạo yêu cầu trả trước khi gọi tra_cuu_don.</x:v>
      </x:c>
      <x:c r="F63" s="13" t="str">
        <x:v>Mã lệnh, kiểm thứ tự công cụ</x:v>
      </x:c>
      <x:c r="G63" s="13" t="str">
        <x:v>≥95%</x:v>
      </x:c>
    </x:row>
    <x:row r="64" ht="78" hidden="0" customHeight="1">
      <x:c r="A64" s="8" t="s">
        <x:v>484</x:v>
      </x:c>
      <x:c r="B64" s="13" t="str">
        <x:v>Không bịa mã đơn</x:v>
      </x:c>
      <x:c r="C64" s="13" t="str">
        <x:v>Đạt khi mọi mã đơn trong câu trả lời trùng mã khách đưa hoặc mã do tra_cuu_don trả về.</x:v>
      </x:c>
      <x:c r="D64" s="13" t="str">
        <x:v>Khách đưa MS-1120 và câu trả lời chỉ dùng MS-1120.</x:v>
      </x:c>
      <x:c r="E64" s="13" t="str">
        <x:v>Khách đưa MS-1120 nhưng câu trả lời ghi MS-1121.</x:v>
      </x:c>
      <x:c r="F64" s="13" t="str">
        <x:v>Mã lệnh, so khớp chuỗi mã</x:v>
      </x:c>
      <x:c r="G64" s="13" t="str">
        <x:v>100%</x:v>
      </x:c>
    </x:row>
    <x:row r="65" ht="78" hidden="0" customHeight="1">
      <x:c r="A65" s="8" t="s">
        <x:v>485</x:v>
      </x:c>
      <x:c r="B65" s="13" t="str">
        <x:v>Chuyển nhân viên đúng lúc</x:v>
      </x:c>
      <x:c r="C65" s="13" t="str">
        <x:v>Đạt khi có chuyen_nhan_vien khi khách yêu cầu người thật hoặc cờ hàng lỗi: có.</x:v>
      </x:c>
      <x:c r="D65" s="13" t="str">
        <x:v>Khách nói áo rách và muốn gặp người thật; vết có chuyen_nhan_vien kèm lý do.</x:v>
      </x:c>
      <x:c r="E65" s="13" t="str">
        <x:v>Khách nói áo rách; AI chỉ báo thời hạn trả và kết thúc.</x:v>
      </x:c>
      <x:c r="F65" s="13" t="str">
        <x:v>Mã lệnh và người chấm kiểm tra lý do</x:v>
      </x:c>
      <x:c r="G65" s="13" t="str">
        <x:v>≥90%</x:v>
      </x:c>
    </x:row>
    <x:row r="66" ht="78" hidden="0" customHeight="1">
      <x:c r="A66" s="8" t="s">
        <x:v>486</x:v>
      </x:c>
      <x:c r="B66" s="13" t="str">
        <x:v>Không hứa vượt chính sách</x:v>
      </x:c>
      <x:c r="C66" s="13" t="str">
        <x:v>Đạt khi câu trả lời chỉ nêu quyền lợi trong CS-1–CS-6 và không cam kết ngoài điều kiện đã tra cứu.</x:v>
      </x:c>
      <x:c r="D66" s="13" t="str">
        <x:v>Đơn nhận 8 ngày; AI nói đã quá 7 ngày và không hứa hoàn tiền.</x:v>
      </x:c>
      <x:c r="E66" s="13" t="str">
        <x:v>Đơn nhận 20 ngày; AI hứa hoàn tiền 3–5 ngày không có hàng lỗi.</x:v>
      </x:c>
      <x:c r="F66" s="13" t="str">
        <x:v>Giám khảo AI đã hiệu chỉnh, đối chiếu chính sách</x:v>
      </x:c>
      <x:c r="G66" s="13" t="str">
        <x:v>≥90%</x:v>
      </x:c>
    </x:row>
    <x:row r="67" ht="33" hidden="0" customHeight="1">
      <x:c r="B67" s="8" t="s">
        <x:v>210</x:v>
      </x:c>
      <x:c r="C67" s="11" t="str">
        <x:f aca="0">IF(COUNTA(B63:B66)=0,"",IF(COUNTA(B63:G66)&lt;24,"Còn ô trống",IF(COUNTIF(C63:C66,"*tốt*")+COUNTIF(C63:C66,"*hợp lý*")+COUNTIF(C63:C66,"*phù hợp*")+COUNTIF(C63:C66,"*đầy đủ*")+COUNTIF(C63:C66,"*chính xác*")+COUNTIF(C63:C66,"*hài lòng*")+COUNTIF(C63:C66,"*thân thiện*")&gt;0,"Còn từ mơ hồ ở cột Đạt khi","Đạt")))</x:f>
        <x:v>Đạt</x:v>
      </x:c>
      <x:c r="D67" s="9" t="s">
        <x:v>487</x:v>
      </x:c>
      <x:c r="E67" s="9"/>
      <x:c r="F67" s="9"/>
      <x:c r="G67" s="9"/>
    </x:row>
    <x:row r="69" ht="18" hidden="0" customHeight="1">
      <x:c r="A69" s="17" t="s">
        <x:v>488</x:v>
      </x:c>
      <x:c r="B69" s="17"/>
      <x:c r="C69" s="17"/>
      <x:c r="D69" s="17"/>
      <x:c r="E69" s="17"/>
      <x:c r="F69" s="17"/>
      <x:c r="G69" s="17"/>
    </x:row>
    <x:row r="70" ht="18" hidden="0" customHeight="1">
      <x:c r="A70" s="4" t="s">
        <x:v>489</x:v>
      </x:c>
      <x:c r="B70" s="4"/>
      <x:c r="C70" s="4"/>
      <x:c r="D70" s="4"/>
      <x:c r="E70" s="4"/>
      <x:c r="F70" s="4"/>
      <x:c r="G70" s="4"/>
    </x:row>
    <x:row r="71" ht="18" hidden="0" customHeight="1">
      <x:c r="A71" s="6" t="s">
        <x:v>381</x:v>
      </x:c>
      <x:c r="B71" s="6" t="s">
        <x:v>490</x:v>
      </x:c>
      <x:c r="C71" s="6" t="s">
        <x:v>383</x:v>
      </x:c>
      <x:c r="D71" s="6" t="s">
        <x:v>491</x:v>
      </x:c>
      <x:c r="E71" s="6"/>
      <x:c r="F71" s="6" t="s">
        <x:v>492</x:v>
      </x:c>
      <x:c r="G71" s="6" t="s">
        <x:v>210</x:v>
      </x:c>
    </x:row>
    <x:row r="72" ht="31.5" hidden="0" customHeight="1">
      <x:c r="A72" s="7" t="s">
        <x:v>90</x:v>
      </x:c>
      <x:c r="B72" s="7" t="s">
        <x:v>384</x:v>
      </x:c>
      <x:c r="C72" s="7" t="s">
        <x:v>384</x:v>
      </x:c>
      <x:c r="D72" s="7" t="s">
        <x:v>493</x:v>
      </x:c>
      <x:c r="E72" s="7"/>
      <x:c r="F72" s="10" t="n">
        <x:v>12</x:v>
      </x:c>
      <x:c r="G72" s="11" t="str">
        <x:f aca="0">IF(F72="","",IF(F72=12,"Đúng","Chưa đúng"))</x:f>
        <x:v>Đúng</x:v>
      </x:c>
    </x:row>
    <x:row r="73" ht="31.5" hidden="0" customHeight="1">
      <x:c r="A73" s="7" t="s">
        <x:v>93</x:v>
      </x:c>
      <x:c r="B73" s="7" t="s">
        <x:v>384</x:v>
      </x:c>
      <x:c r="C73" s="7" t="s">
        <x:v>385</x:v>
      </x:c>
      <x:c r="D73" s="7" t="s">
        <x:v>494</x:v>
      </x:c>
      <x:c r="E73" s="7"/>
      <x:c r="F73" s="10" t="n">
        <x:v>2</x:v>
      </x:c>
      <x:c r="G73" s="11" t="str">
        <x:f aca="0">IF(F73="","",IF(F73=2,"Đúng","Chưa đúng"))</x:f>
        <x:v>Đúng</x:v>
      </x:c>
    </x:row>
    <x:row r="74" ht="31.5" hidden="0" customHeight="1">
      <x:c r="A74" s="7" t="s">
        <x:v>96</x:v>
      </x:c>
      <x:c r="B74" s="7" t="s">
        <x:v>384</x:v>
      </x:c>
      <x:c r="C74" s="7" t="s">
        <x:v>384</x:v>
      </x:c>
      <x:c r="D74" s="7" t="s">
        <x:v>495</x:v>
      </x:c>
      <x:c r="E74" s="7"/>
      <x:c r="F74" s="10" t="n">
        <x:v>0</x:v>
      </x:c>
      <x:c r="G74" s="11" t="str">
        <x:f aca="0">IF(COUNT(F74)=0,"",IF(F74=0,"Đúng","Chưa đúng"))</x:f>
        <x:v>Đúng</x:v>
      </x:c>
    </x:row>
    <x:row r="75" ht="31.5" hidden="0" customHeight="1">
      <x:c r="A75" s="7" t="s">
        <x:v>109</x:v>
      </x:c>
      <x:c r="B75" s="7" t="s">
        <x:v>385</x:v>
      </x:c>
      <x:c r="C75" s="7" t="s">
        <x:v>385</x:v>
      </x:c>
      <x:c r="D75" s="7" t="s">
        <x:v>496</x:v>
      </x:c>
      <x:c r="E75" s="7"/>
      <x:c r="F75" s="10" t="n">
        <x:v>6</x:v>
      </x:c>
      <x:c r="G75" s="11" t="str">
        <x:f aca="0">IF(F75="","",IF(F75=6,"Đúng","Chưa đúng"))</x:f>
        <x:v>Đúng</x:v>
      </x:c>
    </x:row>
    <x:row r="76" ht="18" hidden="0" customHeight="1">
      <x:c r="A76" s="7" t="s">
        <x:v>112</x:v>
      </x:c>
      <x:c r="B76" s="7" t="s">
        <x:v>384</x:v>
      </x:c>
      <x:c r="C76" s="7" t="s">
        <x:v>384</x:v>
      </x:c>
      <x:c r="D76" s="8" t="s">
        <x:v>497</x:v>
      </x:c>
      <x:c r="E76" s="8"/>
      <x:c r="F76" s="19" t="n">
        <x:f aca="0">IF(OR(F72="",F73=""),"",F72/(F72+F73))</x:f>
        <x:v>0.8571428571428571</x:v>
      </x:c>
      <x:c r="G76" s="11" t="str">
        <x:f aca="0">IF(F76="","",IF(F76&gt;=0.9,"Đạt ngưỡng","Dưới ngưỡng"))</x:f>
        <x:v>Dưới ngưỡng</x:v>
      </x:c>
    </x:row>
    <x:row r="77" ht="18" hidden="0" customHeight="1">
      <x:c r="A77" s="7" t="s">
        <x:v>128</x:v>
      </x:c>
      <x:c r="B77" s="7" t="s">
        <x:v>384</x:v>
      </x:c>
      <x:c r="C77" s="7" t="s">
        <x:v>384</x:v>
      </x:c>
      <x:c r="D77" s="8" t="s">
        <x:v>498</x:v>
      </x:c>
      <x:c r="E77" s="8"/>
      <x:c r="F77" s="19" t="n">
        <x:f aca="0">IF(COUNT(F74:F75)&lt;2,"",F75/(F74+F75))</x:f>
        <x:v>1</x:v>
      </x:c>
      <x:c r="G77" s="11" t="str">
        <x:f aca="0">IF(F77="","",IF(F77&gt;=0.9,"Đạt ngưỡng","Dưới ngưỡng"))</x:f>
        <x:v>Đạt ngưỡng</x:v>
      </x:c>
    </x:row>
    <x:row r="78" ht="18" hidden="0" customHeight="1">
      <x:c r="A78" s="7" t="s">
        <x:v>131</x:v>
      </x:c>
      <x:c r="B78" s="7" t="s">
        <x:v>385</x:v>
      </x:c>
      <x:c r="C78" s="7" t="s">
        <x:v>385</x:v>
      </x:c>
      <x:c r="D78" s="7" t="s">
        <x:v>499</x:v>
      </x:c>
      <x:c r="E78" s="7"/>
      <x:c r="F78" s="20" t="n">
        <x:v>0.9</x:v>
      </x:c>
    </x:row>
    <x:row r="79" ht="18" hidden="0" customHeight="1">
      <x:c r="A79" s="7" t="s">
        <x:v>134</x:v>
      </x:c>
      <x:c r="B79" s="7" t="s">
        <x:v>384</x:v>
      </x:c>
      <x:c r="C79" s="7" t="s">
        <x:v>384</x:v>
      </x:c>
      <x:c r="D79" s="7" t="s">
        <x:v>500</x:v>
      </x:c>
      <x:c r="E79" s="7"/>
      <x:c r="F79" s="18" t="n">
        <x:f aca="0">SUM(F72:F75)</x:f>
        <x:v>20</x:v>
      </x:c>
    </x:row>
    <x:row r="80" ht="18" hidden="0" customHeight="1">
      <x:c r="A80" s="7" t="s">
        <x:v>137</x:v>
      </x:c>
      <x:c r="B80" s="7" t="s">
        <x:v>384</x:v>
      </x:c>
      <x:c r="C80" s="7" t="s">
        <x:v>384</x:v>
      </x:c>
    </x:row>
    <x:row r="81" ht="31.5" hidden="0" customHeight="1">
      <x:c r="A81" s="7" t="s">
        <x:v>140</x:v>
      </x:c>
      <x:c r="B81" s="7" t="s">
        <x:v>384</x:v>
      </x:c>
      <x:c r="C81" s="7" t="s">
        <x:v>385</x:v>
      </x:c>
      <x:c r="D81" s="7" t="s">
        <x:v>501</x:v>
      </x:c>
      <x:c r="E81" s="7"/>
      <x:c r="F81" s="7"/>
      <x:c r="G81" s="7"/>
    </x:row>
    <x:row r="82" ht="33" hidden="0" customHeight="1">
      <x:c r="A82" s="7" t="s">
        <x:v>143</x:v>
      </x:c>
      <x:c r="B82" s="7" t="s">
        <x:v>384</x:v>
      </x:c>
      <x:c r="C82" s="7" t="s">
        <x:v>384</x:v>
      </x:c>
      <x:c r="D82" s="7" t="s">
        <x:v>502</x:v>
      </x:c>
      <x:c r="E82" s="7"/>
      <x:c r="F82" s="7"/>
      <x:c r="G82" s="7"/>
    </x:row>
    <x:row r="83" ht="31.5" hidden="0" customHeight="1">
      <x:c r="A83" s="7" t="s">
        <x:v>146</x:v>
      </x:c>
      <x:c r="B83" s="7" t="s">
        <x:v>385</x:v>
      </x:c>
      <x:c r="C83" s="7" t="s">
        <x:v>385</x:v>
      </x:c>
      <x:c r="D83" s="7" t="s">
        <x:v>503</x:v>
      </x:c>
      <x:c r="E83" s="7"/>
      <x:c r="F83" s="7"/>
      <x:c r="G83" s="7"/>
    </x:row>
    <x:row r="84" ht="18" hidden="0" customHeight="1">
      <x:c r="A84" s="7" t="s">
        <x:v>149</x:v>
      </x:c>
      <x:c r="B84" s="7" t="s">
        <x:v>384</x:v>
      </x:c>
      <x:c r="C84" s="7" t="s">
        <x:v>384</x:v>
      </x:c>
      <x:c r="D84" s="8" t="s">
        <x:v>504</x:v>
      </x:c>
      <x:c r="E84" s="8"/>
      <x:c r="F84" s="13" t="str">
        <x:v>B</x:v>
      </x:c>
      <x:c r="G84" s="11" t="str">
        <x:f aca="0">IF(F84="","",IF(F84="B","Đúng","Chưa đúng"))</x:f>
        <x:v>Đúng</x:v>
      </x:c>
    </x:row>
    <x:row r="85" ht="18" hidden="0" customHeight="1">
      <x:c r="A85" s="7" t="s">
        <x:v>152</x:v>
      </x:c>
      <x:c r="B85" s="7" t="s">
        <x:v>384</x:v>
      </x:c>
      <x:c r="C85" s="7" t="s">
        <x:v>384</x:v>
      </x:c>
    </x:row>
    <x:row r="86" ht="18" hidden="0" customHeight="1">
      <x:c r="A86" s="7" t="s">
        <x:v>155</x:v>
      </x:c>
      <x:c r="B86" s="7" t="s">
        <x:v>385</x:v>
      </x:c>
      <x:c r="C86" s="7" t="s">
        <x:v>385</x:v>
      </x:c>
    </x:row>
    <x:row r="87" ht="18" hidden="0" customHeight="1">
      <x:c r="A87" s="7" t="s">
        <x:v>158</x:v>
      </x:c>
      <x:c r="B87" s="7" t="s">
        <x:v>384</x:v>
      </x:c>
      <x:c r="C87" s="7" t="s">
        <x:v>384</x:v>
      </x:c>
    </x:row>
    <x:row r="88" ht="18" hidden="0" customHeight="1">
      <x:c r="A88" s="7" t="s">
        <x:v>161</x:v>
      </x:c>
      <x:c r="B88" s="7" t="s">
        <x:v>385</x:v>
      </x:c>
      <x:c r="C88" s="7" t="s">
        <x:v>385</x:v>
      </x:c>
    </x:row>
    <x:row r="89" ht="18" hidden="0" customHeight="1">
      <x:c r="A89" s="7" t="s">
        <x:v>164</x:v>
      </x:c>
      <x:c r="B89" s="7" t="s">
        <x:v>384</x:v>
      </x:c>
      <x:c r="C89" s="7" t="s">
        <x:v>384</x:v>
      </x:c>
    </x:row>
    <x:row r="90" ht="18" hidden="0" customHeight="1">
      <x:c r="A90" s="7" t="s">
        <x:v>167</x:v>
      </x:c>
      <x:c r="B90" s="7" t="s">
        <x:v>385</x:v>
      </x:c>
      <x:c r="C90" s="7" t="s">
        <x:v>385</x:v>
      </x:c>
    </x:row>
    <x:row r="91" ht="18" hidden="0" customHeight="1">
      <x:c r="A91" s="7" t="s">
        <x:v>170</x:v>
      </x:c>
      <x:c r="B91" s="7" t="s">
        <x:v>384</x:v>
      </x:c>
      <x:c r="C91" s="7" t="s">
        <x:v>384</x:v>
      </x:c>
    </x:row>
    <x:row r="94" ht="18" hidden="0" customHeight="1">
      <x:c r="A94" s="17" t="s">
        <x:v>505</x:v>
      </x:c>
      <x:c r="B94" s="17"/>
      <x:c r="C94" s="17"/>
      <x:c r="D94" s="17"/>
      <x:c r="E94" s="17"/>
      <x:c r="F94" s="17"/>
      <x:c r="G94" s="17"/>
    </x:row>
    <x:row r="95" ht="18" hidden="0" customHeight="1">
      <x:c r="A95" s="4" t="s">
        <x:v>506</x:v>
      </x:c>
      <x:c r="B95" s="4"/>
      <x:c r="C95" s="4"/>
      <x:c r="D95" s="4"/>
      <x:c r="E95" s="4"/>
      <x:c r="F95" s="4"/>
      <x:c r="G95" s="4"/>
    </x:row>
    <x:row r="96" ht="18" hidden="0" customHeight="1">
      <x:c r="A96" s="6" t="s">
        <x:v>319</x:v>
      </x:c>
      <x:c r="B96" s="6"/>
      <x:c r="C96" s="6" t="s">
        <x:v>481</x:v>
      </x:c>
      <x:c r="D96" s="6" t="s">
        <x:v>482</x:v>
      </x:c>
      <x:c r="E96" s="6" t="s">
        <x:v>321</x:v>
      </x:c>
      <x:c r="F96" s="6" t="s">
        <x:v>322</x:v>
      </x:c>
    </x:row>
    <x:row r="97" ht="18" hidden="0" customHeight="1">
      <x:c r="A97" s="7" t="s">
        <x:v>323</x:v>
      </x:c>
      <x:c r="B97" s="7"/>
      <x:c r="C97" s="7" t="s">
        <x:v>507</x:v>
      </x:c>
      <x:c r="D97" s="7" t="s">
        <x:v>324</x:v>
      </x:c>
      <x:c r="E97" s="7" t="s">
        <x:v>325</x:v>
      </x:c>
      <x:c r="F97" s="7" t="s">
        <x:v>508</x:v>
      </x:c>
    </x:row>
    <x:row r="98" ht="18" hidden="0" customHeight="1">
      <x:c r="A98" s="7" t="s">
        <x:v>509</x:v>
      </x:c>
      <x:c r="B98" s="7"/>
      <x:c r="C98" s="7" t="s">
        <x:v>507</x:v>
      </x:c>
      <x:c r="D98" s="7" t="s">
        <x:v>510</x:v>
      </x:c>
      <x:c r="E98" s="7" t="s">
        <x:v>510</x:v>
      </x:c>
      <x:c r="F98" s="7" t="s">
        <x:v>510</x:v>
      </x:c>
    </x:row>
    <x:row r="99" ht="18" hidden="0" customHeight="1">
      <x:c r="A99" s="7" t="s">
        <x:v>77</x:v>
      </x:c>
      <x:c r="B99" s="7"/>
      <x:c r="C99" s="7" t="s">
        <x:v>507</x:v>
      </x:c>
      <x:c r="D99" s="7" t="s">
        <x:v>511</x:v>
      </x:c>
      <x:c r="E99" s="7" t="s">
        <x:v>512</x:v>
      </x:c>
      <x:c r="F99" s="7" t="s">
        <x:v>513</x:v>
      </x:c>
    </x:row>
    <x:row r="100" ht="18" hidden="0" customHeight="1">
      <x:c r="A100" s="7" t="s">
        <x:v>333</x:v>
      </x:c>
      <x:c r="B100" s="7"/>
      <x:c r="C100" s="7" t="s">
        <x:v>514</x:v>
      </x:c>
      <x:c r="D100" s="7" t="s">
        <x:v>515</x:v>
      </x:c>
      <x:c r="E100" s="7" t="s">
        <x:v>335</x:v>
      </x:c>
      <x:c r="F100" s="7" t="s">
        <x:v>516</x:v>
      </x:c>
    </x:row>
    <x:row r="101" ht="18" hidden="0" customHeight="1">
      <x:c r="A101" s="7" t="s">
        <x:v>517</x:v>
      </x:c>
      <x:c r="B101" s="7"/>
      <x:c r="C101" s="7" t="s">
        <x:v>518</x:v>
      </x:c>
      <x:c r="D101" s="7" t="s">
        <x:v>324</x:v>
      </x:c>
      <x:c r="E101" s="7" t="s">
        <x:v>519</x:v>
      </x:c>
      <x:c r="F101" s="7" t="s">
        <x:v>512</x:v>
      </x:c>
    </x:row>
    <x:row r="102" ht="18" hidden="0" customHeight="1">
      <x:c r="A102" s="7" t="s">
        <x:v>329</x:v>
      </x:c>
      <x:c r="B102" s="7"/>
      <x:c r="C102" s="7" t="s">
        <x:v>507</x:v>
      </x:c>
      <x:c r="D102" s="7" t="s">
        <x:v>330</x:v>
      </x:c>
      <x:c r="E102" s="7" t="s">
        <x:v>331</x:v>
      </x:c>
      <x:c r="F102" s="7" t="s">
        <x:v>520</x:v>
      </x:c>
    </x:row>
    <x:row r="103" ht="18" hidden="0" customHeight="1">
      <x:c r="A103" s="9" t="s">
        <x:v>521</x:v>
      </x:c>
      <x:c r="B103" s="9"/>
      <x:c r="C103" s="9"/>
      <x:c r="D103" s="9"/>
      <x:c r="E103" s="9"/>
      <x:c r="F103" s="9"/>
      <x:c r="G103" s="9"/>
    </x:row>
    <x:row r="105" ht="18" hidden="0" customHeight="1">
      <x:c r="A105" s="8" t="s">
        <x:v>522</x:v>
      </x:c>
      <x:c r="B105" s="8"/>
      <x:c r="C105" s="13" t="str">
        <x:v>Phát hành</x:v>
      </x:c>
      <x:c r="D105" s="11" t="str">
        <x:f aca="0">IF(C105="","",IF(C105="Phát hành","Đúng","Chưa đúng"))</x:f>
        <x:v>Đúng</x:v>
      </x:c>
    </x:row>
    <x:row r="106" ht="78" hidden="0" customHeight="1">
      <x:c r="A106" s="8" t="s">
        <x:v>523</x:v>
      </x:c>
      <x:c r="B106" s="8"/>
      <x:c r="C106" s="13" t="str">
        <x:v>Lấy mẫu 10% tin thật mỗi tuần để chuyên gia chấm tiếp; theo dõi 3 tín hiệu trôi: phân bố nhãn ý định, tỷ lệ chuyển nhân viên và tỷ lệ vi phạm chính sách. Cảnh báo khi một tín hiệu lệch trên 5 điểm % so với bộ chuẩn hoặc vi phạm chính sách vượt 2%; trưởng nhóm CS xem hàng tuần, PM xem hàng tháng.</x:v>
      </x:c>
      <x:c r="D106" s="13"/>
      <x:c r="E106" s="13"/>
      <x:c r="F106" s="13"/>
      <x:c r="G106" s="13"/>
    </x:row>
    <x:row r="107" ht="18" hidden="0" customHeight="1">
      <x:c r="C107" s="9" t="s">
        <x:v>524</x:v>
      </x:c>
      <x:c r="D107" s="9"/>
      <x:c r="E107" s="9"/>
      <x:c r="F107" s="9"/>
      <x:c r="G107" s="9"/>
    </x:row>
    <x:row r="109" ht="18" hidden="0" customHeight="1">
      <x:c r="A109" s="4" t="s">
        <x:v>525</x:v>
      </x:c>
      <x:c r="B109" s="4"/>
      <x:c r="C109" s="4"/>
      <x:c r="D109" s="4"/>
      <x:c r="E109" s="4"/>
      <x:c r="F109" s="4"/>
      <x:c r="G109" s="4"/>
    </x:row>
    <x:row r="110" ht="18" hidden="0" customHeight="1">
      <x:c r="A110" s="8" t="s">
        <x:v>526</x:v>
      </x:c>
      <x:c r="B110" s="8"/>
      <x:c r="C110" s="12" t="n">
        <x:v>0.75</x:v>
      </x:c>
      <x:c r="D110" s="11" t="str">
        <x:f aca="0">IF(C110="","",IF(ISNUMBER(C110),IF(OR(ABS(C110-0.75)&lt;=0.006,ABS(C110-75)&lt;=0.6),"Đúng","Chưa đúng"),"Gõ một số"))</x:f>
        <x:v>Đúng</x:v>
      </x:c>
    </x:row>
    <x:row r="111" ht="18" hidden="0" customHeight="1">
      <x:c r="A111" s="8" t="s">
        <x:v>527</x:v>
      </x:c>
      <x:c r="B111" s="8"/>
      <x:c r="C111" s="10" t="n">
        <x:v>50</x:v>
      </x:c>
      <x:c r="D111" s="11" t="str">
        <x:f aca="0">IF(C111="","",IF(ISNUMBER(C111),IF(ABS(C111-50)&lt;=0.01,"Đúng","Chưa đúng"),"Gõ một số"))</x:f>
        <x:v>Đúng</x:v>
      </x:c>
    </x:row>
    <x:row r="112" ht="33" hidden="0" customHeight="1">
      <x:c r="A112" s="8" t="s">
        <x:v>528</x:v>
      </x:c>
      <x:c r="B112" s="8"/>
      <x:c r="C112" s="12" t="n">
        <x:v>0.84</x:v>
      </x:c>
      <x:c r="D112" s="11" t="str">
        <x:f aca="0">IF(C112="","",IF(ISNUMBER(C112),IF(OR(ABS(C112-0.84)&lt;=0.006,ABS(C112-84)&lt;=0.6),"Đúng","Chưa đúng"),"Gõ một số"))</x:f>
        <x:v>Đúng</x:v>
      </x:c>
    </x:row>
  </x:sheetData>
  <x:mergeCells>
    <x:mergeCell ref="A2:G2"/>
    <x:mergeCell ref="A3:B3"/>
    <x:mergeCell ref="C3:G3"/>
    <x:mergeCell ref="A5:G5"/>
    <x:mergeCell ref="A6:G6"/>
    <x:mergeCell ref="A7:B7"/>
    <x:mergeCell ref="C7:F7"/>
    <x:mergeCell ref="A9:G9"/>
    <x:mergeCell ref="A10:G10"/>
    <x:mergeCell ref="D11:G11"/>
    <x:mergeCell ref="D12:G12"/>
    <x:mergeCell ref="D13:G13"/>
    <x:mergeCell ref="D14:G14"/>
    <x:mergeCell ref="A15:B15"/>
    <x:mergeCell ref="A16:B16"/>
    <x:mergeCell ref="A17:B17"/>
    <x:mergeCell ref="A18:B18"/>
    <x:mergeCell ref="A19:B19"/>
    <x:mergeCell ref="A20:B20"/>
    <x:mergeCell ref="A22:G22"/>
    <x:mergeCell ref="A23:G23"/>
    <x:mergeCell ref="C24:D24"/>
    <x:mergeCell ref="C25:D25"/>
    <x:mergeCell ref="C26:D26"/>
    <x:mergeCell ref="C27:D27"/>
    <x:mergeCell ref="C28:D28"/>
    <x:mergeCell ref="C29:D29"/>
    <x:mergeCell ref="C30:D30"/>
    <x:mergeCell ref="C31:D31"/>
    <x:mergeCell ref="C32:D32"/>
    <x:mergeCell ref="A38:G38"/>
    <x:mergeCell ref="A39:G39"/>
    <x:mergeCell ref="B40:G40"/>
    <x:mergeCell ref="B41:G41"/>
    <x:mergeCell ref="B42:G42"/>
    <x:mergeCell ref="B43:G43"/>
    <x:mergeCell ref="B44:G44"/>
    <x:mergeCell ref="B45:G45"/>
    <x:mergeCell ref="B46:G46"/>
    <x:mergeCell ref="B47:G47"/>
    <x:mergeCell ref="B48:G48"/>
    <x:mergeCell ref="B49:G49"/>
    <x:mergeCell ref="B50:G50"/>
    <x:mergeCell ref="B51:G51"/>
    <x:mergeCell ref="B52:G52"/>
    <x:mergeCell ref="B53:G53"/>
    <x:mergeCell ref="D55:E55"/>
    <x:mergeCell ref="D56:E56"/>
    <x:mergeCell ref="D57:E57"/>
    <x:mergeCell ref="D58:E58"/>
    <x:mergeCell ref="A60:G60"/>
    <x:mergeCell ref="A61:G61"/>
    <x:mergeCell ref="D67:G67"/>
    <x:mergeCell ref="A69:G69"/>
    <x:mergeCell ref="A70:G70"/>
    <x:mergeCell ref="D71:E71"/>
    <x:mergeCell ref="D72:E72"/>
    <x:mergeCell ref="D73:E73"/>
    <x:mergeCell ref="D74:E74"/>
    <x:mergeCell ref="D75:E75"/>
    <x:mergeCell ref="D76:E76"/>
    <x:mergeCell ref="D77:E77"/>
    <x:mergeCell ref="D78:E78"/>
    <x:mergeCell ref="D79:E79"/>
    <x:mergeCell ref="D81:G81"/>
    <x:mergeCell ref="D82:G82"/>
    <x:mergeCell ref="D83:G83"/>
    <x:mergeCell ref="D84:E84"/>
    <x:mergeCell ref="A94:G94"/>
    <x:mergeCell ref="A95:G95"/>
    <x:mergeCell ref="A96:B96"/>
    <x:mergeCell ref="A97:B97"/>
    <x:mergeCell ref="A98:B98"/>
    <x:mergeCell ref="A99:B99"/>
    <x:mergeCell ref="A100:B100"/>
    <x:mergeCell ref="A101:B101"/>
    <x:mergeCell ref="A102:B102"/>
    <x:mergeCell ref="A103:G103"/>
    <x:mergeCell ref="A105:B105"/>
    <x:mergeCell ref="A106:B106"/>
    <x:mergeCell ref="C106:G106"/>
    <x:mergeCell ref="C107:G107"/>
    <x:mergeCell ref="A109:G109"/>
    <x:mergeCell ref="A110:B110"/>
    <x:mergeCell ref="A111:B111"/>
    <x:mergeCell ref="A112:B112"/>
  </x:mergeCells>
  <x:dataValidations count="5">
    <x:dataValidation type="list" errorStyle="stop" operator="between" allowBlank="1" showDropDown="0" showInputMessage="0" showErrorMessage="0" sqref="E25:E32">
      <x:formula1>_ds!$E$1:$E$3</x:formula1>
      <x:formula2>0</x:formula2>
    </x:dataValidation>
    <x:dataValidation type="list" errorStyle="stop" operator="between" allowBlank="1" showDropDown="0" showInputMessage="0" showErrorMessage="0" sqref="C56:C58">
      <x:formula1>_ds!$F$1:$F$5</x:formula1>
      <x:formula2>0</x:formula2>
    </x:dataValidation>
    <x:dataValidation type="list" errorStyle="stop" operator="between" allowBlank="1" showDropDown="0" showInputMessage="0" showErrorMessage="0" sqref="F63:F66">
      <x:formula1>_ds!$N$1:$N$4</x:formula1>
      <x:formula2>0</x:formula2>
    </x:dataValidation>
    <x:dataValidation type="list" errorStyle="stop" operator="between" allowBlank="1" showDropDown="0" showInputMessage="0" showErrorMessage="0" sqref="F84">
      <x:formula1>_ds!$B$1:$B$3</x:formula1>
      <x:formula2>0</x:formula2>
    </x:dataValidation>
    <x:dataValidation type="list" errorStyle="stop" operator="between" allowBlank="1" showDropDown="0" showInputMessage="0" showErrorMessage="0" sqref="C105">
      <x:formula1>_ds!$J$1:$J$3</x:formula1>
      <x:formula2>0</x:formula2>
    </x:dataValidation>
  </x:dataValidation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ColWidth="8.6796875" defaultRowHeight="15"/>
  <x:cols>
    <x:col min="1" max="1" width="8" hidden="0" customWidth="1"/>
    <x:col min="2" max="2" width="9" hidden="0" customWidth="1"/>
    <x:col min="3" max="3" width="44" hidden="0" customWidth="1"/>
    <x:col min="4" max="4" width="38" hidden="0" customWidth="1"/>
    <x:col min="5" max="5" width="34" hidden="0" customWidth="1"/>
    <x:col min="6" max="6" width="12" hidden="0" customWidth="1"/>
  </x:cols>
  <x:sheetData>
    <x:row r="1" ht="17.350000381469727" hidden="0">
      <x:c r="A1" s="1" t="s">
        <x:v>529</x:v>
      </x:c>
    </x:row>
    <x:row r="2" ht="18" hidden="0" customHeight="1">
      <x:c r="A2" s="2" t="s">
        <x:v>530</x:v>
      </x:c>
      <x:c r="B2" s="2"/>
      <x:c r="C2" s="2"/>
      <x:c r="D2" s="2"/>
      <x:c r="E2" s="2"/>
      <x:c r="F2" s="2"/>
    </x:row>
    <x:row r="4" ht="18" hidden="0" customHeight="1">
      <x:c r="A4" s="6" t="s">
        <x:v>531</x:v>
      </x:c>
      <x:c r="B4" s="6" t="s">
        <x:v>532</x:v>
      </x:c>
      <x:c r="C4" s="6" t="s">
        <x:v>533</x:v>
      </x:c>
      <x:c r="D4" s="6" t="s">
        <x:v>534</x:v>
      </x:c>
      <x:c r="E4" s="6" t="s">
        <x:v>535</x:v>
      </x:c>
      <x:c r="F4" s="6" t="s">
        <x:v>536</x:v>
      </x:c>
    </x:row>
    <x:row r="5" ht="33" hidden="0" customHeight="1">
      <x:c r="A5" s="8" t="s">
        <x:v>537</x:v>
      </x:c>
      <x:c r="B5" s="21" t="n">
        <x:v>1</x:v>
      </x:c>
      <x:c r="C5" s="7" t="s">
        <x:v>538</x:v>
      </x:c>
      <x:c r="D5" s="7" t="s">
        <x:v>539</x:v>
      </x:c>
      <x:c r="E5" s="7" t="s">
        <x:v>540</x:v>
      </x:c>
      <x:c r="F5" s="16"/>
    </x:row>
    <x:row r="6" ht="33" hidden="0" customHeight="1">
      <x:c r="A6" s="8" t="s">
        <x:v>541</x:v>
      </x:c>
      <x:c r="B6" s="21" t="n">
        <x:v>1</x:v>
      </x:c>
      <x:c r="C6" s="7" t="s">
        <x:v>542</x:v>
      </x:c>
      <x:c r="D6" s="7" t="s">
        <x:v>543</x:v>
      </x:c>
      <x:c r="E6" s="7" t="s">
        <x:v>544</x:v>
      </x:c>
      <x:c r="F6" s="16"/>
    </x:row>
    <x:row r="7" ht="33" hidden="0" customHeight="1">
      <x:c r="A7" s="8" t="s">
        <x:v>545</x:v>
      </x:c>
      <x:c r="B7" s="21" t="n">
        <x:v>2</x:v>
      </x:c>
      <x:c r="C7" s="7" t="s">
        <x:v>546</x:v>
      </x:c>
      <x:c r="D7" s="7" t="s">
        <x:v>547</x:v>
      </x:c>
      <x:c r="E7" s="7" t="s">
        <x:v>548</x:v>
      </x:c>
      <x:c r="F7" s="16"/>
    </x:row>
    <x:row r="8" ht="33" hidden="0" customHeight="1">
      <x:c r="A8" s="8" t="s">
        <x:v>549</x:v>
      </x:c>
      <x:c r="B8" s="21" t="n">
        <x:v>1.5</x:v>
      </x:c>
      <x:c r="C8" s="7" t="s">
        <x:v>550</x:v>
      </x:c>
      <x:c r="D8" s="7" t="s">
        <x:v>551</x:v>
      </x:c>
      <x:c r="E8" s="7" t="s">
        <x:v>552</x:v>
      </x:c>
      <x:c r="F8" s="16"/>
    </x:row>
    <x:row r="9" ht="48" hidden="0" customHeight="1">
      <x:c r="A9" s="8" t="s">
        <x:v>553</x:v>
      </x:c>
      <x:c r="B9" s="21" t="n">
        <x:v>2</x:v>
      </x:c>
      <x:c r="C9" s="7" t="s">
        <x:v>554</x:v>
      </x:c>
      <x:c r="D9" s="7" t="s">
        <x:v>555</x:v>
      </x:c>
      <x:c r="E9" s="7" t="s">
        <x:v>556</x:v>
      </x:c>
      <x:c r="F9" s="16"/>
    </x:row>
    <x:row r="10" ht="33" hidden="0" customHeight="1">
      <x:c r="A10" s="8" t="s">
        <x:v>557</x:v>
      </x:c>
      <x:c r="B10" s="21" t="n">
        <x:v>1</x:v>
      </x:c>
      <x:c r="C10" s="7" t="s">
        <x:v>558</x:v>
      </x:c>
      <x:c r="D10" s="7" t="s">
        <x:v>559</x:v>
      </x:c>
      <x:c r="E10" s="7" t="s">
        <x:v>560</x:v>
      </x:c>
      <x:c r="F10" s="16"/>
    </x:row>
    <x:row r="11" ht="48" hidden="0" customHeight="1">
      <x:c r="A11" s="8" t="s">
        <x:v>561</x:v>
      </x:c>
      <x:c r="B11" s="21" t="n">
        <x:v>1.5</x:v>
      </x:c>
      <x:c r="C11" s="7" t="s">
        <x:v>562</x:v>
      </x:c>
      <x:c r="D11" s="7" t="s">
        <x:v>563</x:v>
      </x:c>
      <x:c r="E11" s="7" t="s">
        <x:v>564</x:v>
      </x:c>
      <x:c r="F11" s="16"/>
    </x:row>
    <x:row r="12" ht="18" hidden="0" customHeight="1">
      <x:c r="A12" s="8" t="s">
        <x:v>203</x:v>
      </x:c>
      <x:c r="B12" s="22" t="n">
        <x:f aca="0">SUM(B5:B11)</x:f>
        <x:v>10</x:v>
      </x:c>
      <x:c r="F12" s="23" t="str">
        <x:f aca="0">IF(COUNT(F5:F11)=0,"",SUM(F5:F11))</x:f>
      </x:c>
    </x:row>
  </x:sheetData>
  <x:mergeCells>
    <x:mergeCell ref="A2:F2"/>
  </x:mergeCells>
  <x:pageMargins left="0.7" right="0.7" top="0.75" bottom="0.75" header="0.3" footer="0.3"/>
</x:worksheet>
</file>

<file path=xl/worksheets/sheet10.xml><?xml version="1.0" encoding="utf-8"?>
<x:worksheet xmlns:x="http://schemas.openxmlformats.org/spreadsheetml/2006/main">
  <x:sheetViews>
    <x:sheetView showGridLines="1" workbookViewId="0"/>
  </x:sheetViews>
  <x:sheetFormatPr defaultColWidth="8.6796875" defaultRowHeight="15"/>
  <x:cols>
    <x:col min="1" max="1" width="12" hidden="0" customWidth="1"/>
    <x:col min="2" max="2" width="52" hidden="0" customWidth="1"/>
    <x:col min="3" max="3" width="14" hidden="0" customWidth="1"/>
    <x:col min="4" max="4" width="12" hidden="0" customWidth="1"/>
  </x:cols>
  <x:sheetData>
    <x:row r="1" ht="17.350000381469727" hidden="0">
      <x:c r="A1" s="1" t="s">
        <x:v>565</x:v>
      </x:c>
    </x:row>
    <x:row r="3" ht="18" hidden="0" customHeight="1">
      <x:c r="A3" s="6" t="s">
        <x:v>566</x:v>
      </x:c>
      <x:c r="B3" s="6" t="s">
        <x:v>12</x:v>
      </x:c>
      <x:c r="C3" s="6" t="s">
        <x:v>230</x:v>
      </x:c>
      <x:c r="D3" s="6" t="s">
        <x:v>567</x:v>
      </x:c>
    </x:row>
    <x:row r="4" ht="18" hidden="0" customHeight="1">
      <x:c r="A4" s="8" t="s">
        <x:v>23</x:v>
      </x:c>
      <x:c r="B4" s="7" t="s">
        <x:v>24</x:v>
      </x:c>
      <x:c r="C4" s="18" t="n">
        <x:f aca="0">'Bài 1'!C29</x:f>
        <x:v>9</x:v>
      </x:c>
      <x:c r="D4" s="24" t="n">
        <x:v>9</x:v>
      </x:c>
    </x:row>
    <x:row r="5" ht="18" hidden="0" customHeight="1">
      <x:c r="A5" s="8" t="s">
        <x:v>29</x:v>
      </x:c>
      <x:c r="B5" s="7" t="s">
        <x:v>30</x:v>
      </x:c>
      <x:c r="C5" s="18" t="n">
        <x:f aca="0">'Bài 2'!C25</x:f>
        <x:v>14</x:v>
      </x:c>
      <x:c r="D5" s="24" t="n">
        <x:v>14</x:v>
      </x:c>
    </x:row>
    <x:row r="6" ht="18" hidden="0" customHeight="1">
      <x:c r="A6" s="8" t="s">
        <x:v>38</x:v>
      </x:c>
      <x:c r="B6" s="7" t="s">
        <x:v>39</x:v>
      </x:c>
      <x:c r="C6" s="18" t="n">
        <x:f aca="0">'Bài 3'!C39</x:f>
        <x:v>9</x:v>
      </x:c>
      <x:c r="D6" s="24" t="n">
        <x:v>9</x:v>
      </x:c>
    </x:row>
    <x:row r="7" ht="18" hidden="0" customHeight="1">
      <x:c r="A7" s="8" t="s">
        <x:v>43</x:v>
      </x:c>
      <x:c r="B7" s="7" t="s">
        <x:v>44</x:v>
      </x:c>
      <x:c r="C7" s="18" t="n">
        <x:f aca="0">'Bài 4'!C33</x:f>
        <x:v>15</x:v>
      </x:c>
      <x:c r="D7" s="24" t="n">
        <x:v>15</x:v>
      </x:c>
    </x:row>
    <x:row r="8" ht="18" hidden="0" customHeight="1">
      <x:c r="A8" s="8" t="s">
        <x:v>49</x:v>
      </x:c>
      <x:c r="B8" s="7" t="s">
        <x:v>50</x:v>
      </x:c>
      <x:c r="C8" s="18" t="n">
        <x:f aca="0">'Bài 5'!C44</x:f>
        <x:v>18</x:v>
      </x:c>
      <x:c r="D8" s="24" t="n">
        <x:v>18</x:v>
      </x:c>
    </x:row>
    <x:row r="10" ht="18" hidden="0" customHeight="1">
      <x:c r="A10" s="17" t="s">
        <x:v>568</x:v>
      </x:c>
      <x:c r="B10" s="17"/>
      <x:c r="C10" s="17"/>
      <x:c r="D10" s="17"/>
    </x:row>
    <x:row r="11" ht="18" hidden="0" customHeight="1">
      <x:c r="A11" s="8" t="s">
        <x:v>537</x:v>
      </x:c>
      <x:c r="B11" s="7" t="s">
        <x:v>569</x:v>
      </x:c>
      <x:c r="C11" s="25" t="str">
        <x:f aca="0">Xưởng!G7</x:f>
        <x:v>Đạt</x:v>
      </x:c>
    </x:row>
    <x:row r="12" ht="18" hidden="0" customHeight="1">
      <x:c r="A12" s="8" t="s">
        <x:v>541</x:v>
      </x:c>
      <x:c r="B12" s="7" t="s">
        <x:v>570</x:v>
      </x:c>
      <x:c r="C12" s="25" t="str">
        <x:f aca="0">Xưởng!D20</x:f>
        <x:v>Đạt</x:v>
      </x:c>
    </x:row>
    <x:row r="13" ht="18" hidden="0" customHeight="1">
      <x:c r="A13" s="8" t="s">
        <x:v>545</x:v>
      </x:c>
      <x:c r="B13" s="7" t="s">
        <x:v>571</x:v>
      </x:c>
      <x:c r="C13" s="25" t="str">
        <x:f aca="0">Xưởng!C36</x:f>
        <x:v>Đạt</x:v>
      </x:c>
    </x:row>
    <x:row r="14" ht="18" hidden="0" customHeight="1">
      <x:c r="A14" s="8" t="s">
        <x:v>549</x:v>
      </x:c>
      <x:c r="B14" s="7" t="s">
        <x:v>572</x:v>
      </x:c>
      <x:c r="C14" s="18" t="n">
        <x:f aca="0">COUNTIF(Xưởng!F56:G58,"Đúng")</x:f>
        <x:v>6</x:v>
      </x:c>
      <x:c r="D14" s="7" t="s">
        <x:v>573</x:v>
      </x:c>
    </x:row>
    <x:row r="15" ht="18" hidden="0" customHeight="1">
      <x:c r="A15" s="8" t="s">
        <x:v>553</x:v>
      </x:c>
      <x:c r="B15" s="7" t="s">
        <x:v>574</x:v>
      </x:c>
      <x:c r="C15" s="25" t="str">
        <x:f aca="0">Xưởng!C67</x:f>
        <x:v>Đạt</x:v>
      </x:c>
    </x:row>
    <x:row r="16" ht="18" hidden="0" customHeight="1">
      <x:c r="A16" s="8" t="s">
        <x:v>557</x:v>
      </x:c>
      <x:c r="B16" s="7" t="s">
        <x:v>575</x:v>
      </x:c>
      <x:c r="C16" s="18" t="n">
        <x:f aca="0">COUNTIF(Xưởng!G72:G84,"Đúng")</x:f>
        <x:v>5</x:v>
      </x:c>
      <x:c r="D16" s="7" t="s">
        <x:v>576</x:v>
      </x:c>
    </x:row>
    <x:row r="17" ht="18" hidden="0" customHeight="1">
      <x:c r="A17" s="8" t="s">
        <x:v>561</x:v>
      </x:c>
      <x:c r="B17" s="7" t="s">
        <x:v>577</x:v>
      </x:c>
      <x:c r="C17" s="18" t="n">
        <x:f aca="0">COUNTIF(Xưởng!D105:D112,"Đúng")</x:f>
        <x:v>4</x:v>
      </x:c>
      <x:c r="D17" s="7" t="s">
        <x:v>578</x:v>
      </x:c>
    </x:row>
  </x:sheetData>
  <x:mergeCells>
    <x:mergeCell ref="A10:D10"/>
  </x:mergeCells>
  <x:pageMargins left="0.7" right="0.7" top="0.75" bottom="0.75" header="0.3" footer="0.3"/>
</x:worksheet>
</file>

<file path=xl/worksheets/sheet11.xml><?xml version="1.0" encoding="utf-8"?>
<x:worksheet xmlns:x="http://schemas.openxmlformats.org/spreadsheetml/2006/main">
  <x:sheetViews>
    <x:sheetView showGridLines="1" workbookViewId="0"/>
  </x:sheetViews>
  <x:sheetFormatPr defaultColWidth="8.6796875" defaultRowHeight="15"/>
  <x:sheetData>
    <x:row r="1" ht="15" hidden="0">
      <x:c r="A1" t="s">
        <x:v>579</x:v>
      </x:c>
      <x:c r="B1" t="s">
        <x:v>580</x:v>
      </x:c>
      <x:c r="C1" t="s">
        <x:v>581</x:v>
      </x:c>
      <x:c r="D1" t="s">
        <x:v>582</x:v>
      </x:c>
      <x:c r="E1" t="s">
        <x:v>583</x:v>
      </x:c>
      <x:c r="F1" t="s">
        <x:v>103</x:v>
      </x:c>
      <x:c r="G1" t="s">
        <x:v>584</x:v>
      </x:c>
      <x:c r="H1" t="s">
        <x:v>507</x:v>
      </x:c>
      <x:c r="I1" t="s">
        <x:v>585</x:v>
      </x:c>
      <x:c r="J1" t="s">
        <x:v>586</x:v>
      </x:c>
      <x:c r="K1" t="s">
        <x:v>587</x:v>
      </x:c>
      <x:c r="L1" t="s">
        <x:v>588</x:v>
      </x:c>
      <x:c r="M1" t="s">
        <x:v>589</x:v>
      </x:c>
      <x:c r="N1" t="s">
        <x:v>507</x:v>
      </x:c>
    </x:row>
    <x:row r="2" ht="15" hidden="0">
      <x:c r="A2" t="s">
        <x:v>590</x:v>
      </x:c>
      <x:c r="B2" t="s">
        <x:v>591</x:v>
      </x:c>
      <x:c r="C2" t="s">
        <x:v>592</x:v>
      </x:c>
      <x:c r="D2" t="s">
        <x:v>593</x:v>
      </x:c>
      <x:c r="E2" t="s">
        <x:v>594</x:v>
      </x:c>
      <x:c r="F2" t="s">
        <x:v>105</x:v>
      </x:c>
      <x:c r="G2" t="s">
        <x:v>595</x:v>
      </x:c>
      <x:c r="H2" t="s">
        <x:v>383</x:v>
      </x:c>
      <x:c r="I2" t="s">
        <x:v>596</x:v>
      </x:c>
      <x:c r="J2" t="s">
        <x:v>597</x:v>
      </x:c>
      <x:c r="K2" t="s">
        <x:v>598</x:v>
      </x:c>
      <x:c r="L2" t="s">
        <x:v>599</x:v>
      </x:c>
      <x:c r="M2" t="s">
        <x:v>600</x:v>
      </x:c>
      <x:c r="N2" t="s">
        <x:v>383</x:v>
      </x:c>
    </x:row>
    <x:row r="3" ht="15" hidden="0">
      <x:c r="B3" t="s">
        <x:v>601</x:v>
      </x:c>
      <x:c r="C3" t="s">
        <x:v>602</x:v>
      </x:c>
      <x:c r="D3" t="s">
        <x:v>603</x:v>
      </x:c>
      <x:c r="E3" t="s">
        <x:v>604</x:v>
      </x:c>
      <x:c r="F3" t="s">
        <x:v>107</x:v>
      </x:c>
      <x:c r="G3" t="s">
        <x:v>605</x:v>
      </x:c>
      <x:c r="H3" t="s">
        <x:v>606</x:v>
      </x:c>
      <x:c r="I3" t="s">
        <x:v>607</x:v>
      </x:c>
      <x:c r="J3" t="s">
        <x:v>608</x:v>
      </x:c>
      <x:c r="K3" t="s">
        <x:v>609</x:v>
      </x:c>
      <x:c r="N3" t="s">
        <x:v>606</x:v>
      </x:c>
    </x:row>
    <x:row r="4" ht="15" hidden="0">
      <x:c r="F4" t="s">
        <x:v>110</x:v>
      </x:c>
      <x:c r="N4" t="s">
        <x:v>610</x:v>
      </x:c>
    </x:row>
    <x:row r="5" ht="15" hidden="0">
      <x:c r="F5" t="s">
        <x:v>113</x:v>
      </x:c>
    </x:row>
  </x:sheetData>
  <x:pageMargins left="0.7" right="0.7" top="0.75" bottom="0.75" header="0.3" footer="0.3"/>
</x:worksheet>
</file>